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a" sheetId="1" state="visible" r:id="rId3"/>
    <sheet name="Sada" sheetId="2" state="visible" r:id="rId4"/>
    <sheet name="Pokrytie" sheetId="3" state="visible" r:id="rId5"/>
  </sheets>
  <definedNames>
    <definedName function="false" hidden="true" localSheetId="1" name="_xlnm._FilterDatabase" vbProcedure="false">Sada!$A$2:$P$77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<sst xmlns="http://schemas.openxmlformats.org/spreadsheetml/2006/main" count="662" uniqueCount="253">
  <si>
    <t xml:space="preserve">Contineo — zlatá sada D9</t>
  </si>
  <si>
    <t xml:space="preserve">Čo je toto</t>
  </si>
  <si>
    <t xml:space="preserve">Sada overených otázok a odpovedí, proti ktorej sa meria kvalita vyhľadávania pred spustením.</t>
  </si>
  <si>
    <t xml:space="preserve">Bez nej je porovnanie modelov dohad. Odpovede musia byť overené človekom, nie vygenerované.</t>
  </si>
  <si>
    <t xml:space="preserve">Čo treba vyplniť</t>
  </si>
  <si>
    <t xml:space="preserve">Iba ŽLTÉ stĺpce (J–P) na hárku „Sada“. Sivé stĺpce sú predvyplnené — needitovať.</t>
  </si>
  <si>
    <t xml:space="preserve">Otázku (stĺpec B) môžete upraviť alebo preformulovať, ak je nepresná alebo neprirodzená.</t>
  </si>
  <si>
    <t xml:space="preserve">OVERENÁ ODPOVEĎ</t>
  </si>
  <si>
    <t xml:space="preserve">Krátka vecná odpoveď, ako by ju mal dať systém. 2–5 viet. Bez úvodných fráz.</t>
  </si>
  <si>
    <t xml:space="preserve">Zdroj 1 / Zdroj 2</t>
  </si>
  <si>
    <t xml:space="preserve">Presný názov predpisu a § alebo článok, kde odpoveď stojí. Ak stačí jeden zdroj, druhý nechajte prázdny.</t>
  </si>
  <si>
    <t xml:space="preserve">Pri otázkach na precedenciu (R1–R4) uveďte OBA predpisy — všeobecný aj špecifický.</t>
  </si>
  <si>
    <t xml:space="preserve">Stav</t>
  </si>
  <si>
    <t xml:space="preserve">hotovo = odpoveď overená · rozpracovane = treba doriešiť · vyradene = otázka nedáva zmysel</t>
  </si>
  <si>
    <t xml:space="preserve">Poznámka</t>
  </si>
  <si>
    <t xml:space="preserve">Čokoľvek, čo má vedieť ten, kto bude vyhodnocovať. Napr. „sporné, treba potvrdiť komisiou“.</t>
  </si>
  <si>
    <t xml:space="preserve">Pozor — pasce</t>
  </si>
  <si>
    <t xml:space="preserve">Riadky s červeným „Typ pasce“ sú zámerné. Systém na ne NEMÁ odpovedať vecne.</t>
  </si>
  <si>
    <t xml:space="preserve">  out_of_domain</t>
  </si>
  <si>
    <t xml:space="preserve">Mimo domény → systém musí povedať, že odpoveď nemá. Do odpovede napíšte, prečo je mimo.</t>
  </si>
  <si>
    <t xml:space="preserve">  ambiguous_conflict</t>
  </si>
  <si>
    <t xml:space="preserve">Nejednoznačný rozpor → systém nesmie rozhodnúť autoritatívne, má ponúknuť eskaláciu.</t>
  </si>
  <si>
    <t xml:space="preserve">  access_control</t>
  </si>
  <si>
    <t xml:space="preserve">Verejný používateľ sa pýta na interný obsah → systém nesmie obsah prezradiť.</t>
  </si>
  <si>
    <t xml:space="preserve">  historical_version</t>
  </si>
  <si>
    <t xml:space="preserve">Otázka na staršie znenie → musí citovať verziu platnú v danom čase.</t>
  </si>
  <si>
    <t xml:space="preserve">Očakávané správanie</t>
  </si>
  <si>
    <t xml:space="preserve">answer = vecná odpoveď · refuse = odmietnuť · escalate = ponúknuť ticket</t>
  </si>
  <si>
    <t xml:space="preserve">Koľko to je</t>
  </si>
  <si>
    <t xml:space="preserve">74 otázok. Rozhodnutie D9 žiada 50–100, takže sada je v pásme.</t>
  </si>
  <si>
    <t xml:space="preserve">Ako dlho</t>
  </si>
  <si>
    <t xml:space="preserve">Odhad 4–8 hodín práce. Nemusí to byť naraz — stĺpec „Stav“ drží rozpracovanosť.</t>
  </si>
  <si>
    <t xml:space="preserve">Kontakt</t>
  </si>
  <si>
    <t xml:space="preserve">Ján Letko · office@contineo.app</t>
  </si>
  <si>
    <t xml:space="preserve">Vyplňte iba žlté stĺpce. Vzorový riadok č. 2 ukazuje očakávaný formát — pred odovzdaním ho zmažte.</t>
  </si>
  <si>
    <t xml:space="preserve">ID</t>
  </si>
  <si>
    <t xml:space="preserve">Otázka</t>
  </si>
  <si>
    <t xml:space="preserve">Typ vyhľadávania</t>
  </si>
  <si>
    <t xml:space="preserve">Sekcia</t>
  </si>
  <si>
    <t xml:space="preserve">Organizácia</t>
  </si>
  <si>
    <t xml:space="preserve">Prístup</t>
  </si>
  <si>
    <t xml:space="preserve">Precedencia</t>
  </si>
  <si>
    <t xml:space="preserve">Typ pasce</t>
  </si>
  <si>
    <t xml:space="preserve">Zdroj 1 — dokument</t>
  </si>
  <si>
    <t xml:space="preserve">Zdroj 1 — § / článok</t>
  </si>
  <si>
    <t xml:space="preserve">Zdroj 2 — dokument</t>
  </si>
  <si>
    <t xml:space="preserve">Zdroj 2 — § / článok</t>
  </si>
  <si>
    <t xml:space="preserve">Poznámka legislatívca</t>
  </si>
  <si>
    <t xml:space="preserve">PRÍKLAD</t>
  </si>
  <si>
    <t xml:space="preserve">Aká je lehota na podanie námietky?</t>
  </si>
  <si>
    <t xml:space="preserve">fulltext</t>
  </si>
  <si>
    <t xml:space="preserve">sutazny_poriadok</t>
  </si>
  <si>
    <t xml:space="preserve">SFZ</t>
  </si>
  <si>
    <t xml:space="preserve">public</t>
  </si>
  <si>
    <t xml:space="preserve">answer</t>
  </si>
  <si>
    <t xml:space="preserve">Námietku treba podať do 48 hodín od skončenia stretnutia, písomne cez ISSF. Po uplynutí lehoty sa na námietku neprihliada.</t>
  </si>
  <si>
    <t xml:space="preserve">Súťažný poriadok SFZ</t>
  </si>
  <si>
    <t xml:space="preserve">§ 84 ods. 2</t>
  </si>
  <si>
    <t xml:space="preserve">hotovo</t>
  </si>
  <si>
    <t xml:space="preserve">Ilustračný príklad formátu — nejde o overené znenie.</t>
  </si>
  <si>
    <t xml:space="preserve">D9-001</t>
  </si>
  <si>
    <t xml:space="preserve">Podmienky štartu hráča za nový klub?</t>
  </si>
  <si>
    <t xml:space="preserve">hybrid</t>
  </si>
  <si>
    <t xml:space="preserve">D9-002</t>
  </si>
  <si>
    <t xml:space="preserve">D9-003</t>
  </si>
  <si>
    <t xml:space="preserve">Kedy sa stretnutie kontumuje?</t>
  </si>
  <si>
    <t xml:space="preserve">D9-004</t>
  </si>
  <si>
    <t xml:space="preserve">Koľko hráčov môže byť uvedených na zápise o stretnutí?</t>
  </si>
  <si>
    <t xml:space="preserve">D9-005</t>
  </si>
  <si>
    <t xml:space="preserve">Aká je čakacia doba pri neúčasti súpera na stretnutí?</t>
  </si>
  <si>
    <t xml:space="preserve">D9-006</t>
  </si>
  <si>
    <t xml:space="preserve">Kto rozhoduje o odložení stretnutia pre nespôsobilú hraciu plochu?</t>
  </si>
  <si>
    <t xml:space="preserve">D9-007</t>
  </si>
  <si>
    <t xml:space="preserve">Koľko striedaní je povolených v súťažnom stretnutí?</t>
  </si>
  <si>
    <t xml:space="preserve">D9-008</t>
  </si>
  <si>
    <t xml:space="preserve">Za akých podmienok môže klub podať odvolanie proti rozhodnutiu riadiaceho orgánu?</t>
  </si>
  <si>
    <t xml:space="preserve">vector</t>
  </si>
  <si>
    <t xml:space="preserve">D9-009</t>
  </si>
  <si>
    <t xml:space="preserve">Čo musí obsahovať zápis o stretnutí?</t>
  </si>
  <si>
    <t xml:space="preserve">D9-010</t>
  </si>
  <si>
    <t xml:space="preserve">Aké sú podmienky pre schválenie hracej plochy?</t>
  </si>
  <si>
    <t xml:space="preserve">D9-011</t>
  </si>
  <si>
    <t xml:space="preserve">§ 15 Súťažného poriadku — čoho sa týka?</t>
  </si>
  <si>
    <t xml:space="preserve">D9-012</t>
  </si>
  <si>
    <t xml:space="preserve">Kedy hráč nesmie nastúpiť v stretnutí?</t>
  </si>
  <si>
    <t xml:space="preserve">D9-013</t>
  </si>
  <si>
    <t xml:space="preserve">Ako sa registruje nový hráč?</t>
  </si>
  <si>
    <t xml:space="preserve">prestupovy_poriadok</t>
  </si>
  <si>
    <t xml:space="preserve">D9-014</t>
  </si>
  <si>
    <t xml:space="preserve">Kto schvaľuje prestup maloletého hráča?</t>
  </si>
  <si>
    <t xml:space="preserve">D9-015</t>
  </si>
  <si>
    <t xml:space="preserve">Aké sú prestupové termíny v aktuálnom súťažnom ročníku?</t>
  </si>
  <si>
    <t xml:space="preserve">D9-016</t>
  </si>
  <si>
    <t xml:space="preserve">Čo je hosťovanie a ako dlho môže trvať?</t>
  </si>
  <si>
    <t xml:space="preserve">D9-017</t>
  </si>
  <si>
    <t xml:space="preserve">Aké doklady sú potrebné pri registrácii cudzinca?</t>
  </si>
  <si>
    <t xml:space="preserve">D9-018</t>
  </si>
  <si>
    <t xml:space="preserve">Kedy zaniká registrácia hráča v klube?</t>
  </si>
  <si>
    <t xml:space="preserve">D9-019</t>
  </si>
  <si>
    <t xml:space="preserve">Je možné zrušiť hosťovanie predčasne?</t>
  </si>
  <si>
    <t xml:space="preserve">D9-020</t>
  </si>
  <si>
    <t xml:space="preserve">Aký je postup pri prestupe hráča zo zahraničia?</t>
  </si>
  <si>
    <t xml:space="preserve">D9-021</t>
  </si>
  <si>
    <t xml:space="preserve">Čo je odstupné za hráča a kto ho platí?</t>
  </si>
  <si>
    <t xml:space="preserve">D9-022</t>
  </si>
  <si>
    <t xml:space="preserve">Aký je trest za tri žlté karty v súťaži?</t>
  </si>
  <si>
    <t xml:space="preserve">disciplinarny_poriadok</t>
  </si>
  <si>
    <t xml:space="preserve">D9-023</t>
  </si>
  <si>
    <t xml:space="preserve">Aký je trest za červenú kartu za surovú hru?</t>
  </si>
  <si>
    <t xml:space="preserve">D9-024</t>
  </si>
  <si>
    <t xml:space="preserve">Kto je disciplinárny orgán prvého stupňa?</t>
  </si>
  <si>
    <t xml:space="preserve">D9-025</t>
  </si>
  <si>
    <t xml:space="preserve">Aká je lehota na podanie odvolania v disciplinárnom konaní?</t>
  </si>
  <si>
    <t xml:space="preserve">D9-026</t>
  </si>
  <si>
    <t xml:space="preserve">Za čo môže byť klub potrestaný pokutou?</t>
  </si>
  <si>
    <t xml:space="preserve">D9-027</t>
  </si>
  <si>
    <t xml:space="preserve">Kedy sa disciplinárne konanie zastaví?</t>
  </si>
  <si>
    <t xml:space="preserve">D9-028</t>
  </si>
  <si>
    <t xml:space="preserve">Ako sa počíta zákaz štartu na počet stretnutí?</t>
  </si>
  <si>
    <t xml:space="preserve">D9-029</t>
  </si>
  <si>
    <t xml:space="preserve">Koľko cudzincov môže byť na súpiske v 3. lige?</t>
  </si>
  <si>
    <t xml:space="preserve">rozpisy_manualy</t>
  </si>
  <si>
    <t xml:space="preserve">SsFZ</t>
  </si>
  <si>
    <t xml:space="preserve">D9-030</t>
  </si>
  <si>
    <t xml:space="preserve">Aké sú hracie dni v tejto súťaži?</t>
  </si>
  <si>
    <t xml:space="preserve">D9-031</t>
  </si>
  <si>
    <t xml:space="preserve">Aký je termín uzávierky súpisky pre tento ročník?</t>
  </si>
  <si>
    <t xml:space="preserve">D9-032</t>
  </si>
  <si>
    <t xml:space="preserve">Aký je štartovný vklad do súťaže?</t>
  </si>
  <si>
    <t xml:space="preserve">D9-033</t>
  </si>
  <si>
    <t xml:space="preserve">Ktoré vekové kategórie sú v tejto súťaži vypísané?</t>
  </si>
  <si>
    <t xml:space="preserve">D9-034</t>
  </si>
  <si>
    <t xml:space="preserve">Rozpis súťaže určuje inú lehotu na námietku ako Súťažný poriadok. Ktorá platí?</t>
  </si>
  <si>
    <t xml:space="preserve">R1</t>
  </si>
  <si>
    <t xml:space="preserve">D9-035</t>
  </si>
  <si>
    <t xml:space="preserve">Môže rozpis súťaže zmeniť podmienky štartu hráča oproti Súťažnému poriadku?</t>
  </si>
  <si>
    <t xml:space="preserve">D9-036</t>
  </si>
  <si>
    <t xml:space="preserve">Rozpis stanovuje vyšší trest než Disciplinárny poriadok — čím sa riadiť?</t>
  </si>
  <si>
    <t xml:space="preserve">D9-037</t>
  </si>
  <si>
    <t xml:space="preserve">Smernica odporuje Stanovám SFZ. Ktorý predpis má prednosť?</t>
  </si>
  <si>
    <t xml:space="preserve">smernice</t>
  </si>
  <si>
    <t xml:space="preserve">D9-038</t>
  </si>
  <si>
    <t xml:space="preserve">Kedy je ustanovenie rozpisu neaplikovateľné?</t>
  </si>
  <si>
    <t xml:space="preserve">D9-039</t>
  </si>
  <si>
    <t xml:space="preserve">Kedy platí rozpis zväzu nad poriadkom SFZ?</t>
  </si>
  <si>
    <t xml:space="preserve">R2</t>
  </si>
  <si>
    <t xml:space="preserve">D9-040</t>
  </si>
  <si>
    <t xml:space="preserve">Môže rozpis súťaže určiť vlastný počet družstiev v súťaži?</t>
  </si>
  <si>
    <t xml:space="preserve">D9-041</t>
  </si>
  <si>
    <t xml:space="preserve">Smie rozpis určiť odlišné hracie časy než je zvykom?</t>
  </si>
  <si>
    <t xml:space="preserve">D9-042</t>
  </si>
  <si>
    <t xml:space="preserve">Ktoré okruhy smie rozpis súťaže upravovať samostatne?</t>
  </si>
  <si>
    <t xml:space="preserve">D9-043</t>
  </si>
  <si>
    <t xml:space="preserve">Rozpis určuje termíny kôl odlišne od všeobecného kalendára — platí to?</t>
  </si>
  <si>
    <t xml:space="preserve">D9-044</t>
  </si>
  <si>
    <t xml:space="preserve">Ktorá verzia Súťažného poriadku platí pre stretnutie odohraté v minulom ročníku?</t>
  </si>
  <si>
    <t xml:space="preserve">R3</t>
  </si>
  <si>
    <t xml:space="preserve">historical_version</t>
  </si>
  <si>
    <t xml:space="preserve">D9-045</t>
  </si>
  <si>
    <t xml:space="preserve">Poriadok bol novelizovaný v priebehu ročníka. Ktoré znenie sa použije?</t>
  </si>
  <si>
    <t xml:space="preserve">D9-046</t>
  </si>
  <si>
    <t xml:space="preserve">Aké boli prestupové termíny v predchádzajúcom súťažnom ročníku?</t>
  </si>
  <si>
    <t xml:space="preserve">D9-047</t>
  </si>
  <si>
    <t xml:space="preserve">Platí pre disciplinárne konanie znenie účinné v čase priestupku alebo v čase rozhodovania?</t>
  </si>
  <si>
    <t xml:space="preserve">D9-048</t>
  </si>
  <si>
    <t xml:space="preserve">Kde zistím, od kedy je aktuálne znenie poriadku účinné?</t>
  </si>
  <si>
    <t xml:space="preserve">D9-049</t>
  </si>
  <si>
    <t xml:space="preserve">Môže regionálny zväz určiť prísnejšie pravidlo než SFZ?</t>
  </si>
  <si>
    <t xml:space="preserve">R4</t>
  </si>
  <si>
    <t xml:space="preserve">D9-050</t>
  </si>
  <si>
    <t xml:space="preserve">Predpis oblastného zväzu odporuje predpisu regionálneho. Ktorý platí?</t>
  </si>
  <si>
    <t xml:space="preserve">D9-051</t>
  </si>
  <si>
    <t xml:space="preserve">V akom rozsahu smie nižší zväz upresňovať predpisy SFZ?</t>
  </si>
  <si>
    <t xml:space="preserve">D9-052</t>
  </si>
  <si>
    <t xml:space="preserve">Platí smernica SFZ aj pre súťaže oblastných zväzov?</t>
  </si>
  <si>
    <t xml:space="preserve">D9-053</t>
  </si>
  <si>
    <t xml:space="preserve">Aké doklady sú potrebné k licencii trénera UEFA B?</t>
  </si>
  <si>
    <t xml:space="preserve">D9-054</t>
  </si>
  <si>
    <t xml:space="preserve">Aká je platnosť trénerskej licencie a ako sa predlžuje?</t>
  </si>
  <si>
    <t xml:space="preserve">D9-055</t>
  </si>
  <si>
    <t xml:space="preserve">Aké sú podmienky pre licenciu klubu?</t>
  </si>
  <si>
    <t xml:space="preserve">D9-056</t>
  </si>
  <si>
    <t xml:space="preserve">Aký je interný postup pri proteste podanom klubom?</t>
  </si>
  <si>
    <t xml:space="preserve">internal</t>
  </si>
  <si>
    <t xml:space="preserve">D9-057</t>
  </si>
  <si>
    <t xml:space="preserve">Kto schvaľuje cestovné náhrady delegovaných osôb?</t>
  </si>
  <si>
    <t xml:space="preserve">D9-058</t>
  </si>
  <si>
    <t xml:space="preserve">Aký je interný termín na spracovanie žiadosti o registráciu?</t>
  </si>
  <si>
    <t xml:space="preserve">D9-059</t>
  </si>
  <si>
    <t xml:space="preserve">Ako si resetujem heslo do ISSF?</t>
  </si>
  <si>
    <t xml:space="preserve">it_aplikacie</t>
  </si>
  <si>
    <t xml:space="preserve">D9-060</t>
  </si>
  <si>
    <t xml:space="preserve">Kde v ISSF nájdem elektronickú registráciu hráča?</t>
  </si>
  <si>
    <t xml:space="preserve">D9-061</t>
  </si>
  <si>
    <t xml:space="preserve">Prečo mi ISSF nedovolí uzavrieť zápis o stretnutí?</t>
  </si>
  <si>
    <t xml:space="preserve">D9-062</t>
  </si>
  <si>
    <t xml:space="preserve">Aké bude zajtra počasie v Bratislave?</t>
  </si>
  <si>
    <t xml:space="preserve">—</t>
  </si>
  <si>
    <t xml:space="preserve">out_of_domain</t>
  </si>
  <si>
    <t xml:space="preserve">refuse</t>
  </si>
  <si>
    <t xml:space="preserve">D9-063</t>
  </si>
  <si>
    <t xml:space="preserve">Kto vyhral majstrovstvá sveta vo futbale v roku 2022?</t>
  </si>
  <si>
    <t xml:space="preserve">D9-064</t>
  </si>
  <si>
    <t xml:space="preserve">Ako si zmením heslo do Gmailu?</t>
  </si>
  <si>
    <t xml:space="preserve">D9-065</t>
  </si>
  <si>
    <t xml:space="preserve">Aké sú pravidlá ľadového hokeja pri vylúčení?</t>
  </si>
  <si>
    <t xml:space="preserve">D9-066</t>
  </si>
  <si>
    <t xml:space="preserve">Koľko stojí lístok na zápas reprezentácie?</t>
  </si>
  <si>
    <t xml:space="preserve">D9-067</t>
  </si>
  <si>
    <t xml:space="preserve">Odporuč mi najlepšieho hráča na post stopéra.</t>
  </si>
  <si>
    <t xml:space="preserve">D9-068</t>
  </si>
  <si>
    <t xml:space="preserve">Rozpis aj poriadok upravujú tú istú vec odlišne a nie je zrejmé, či ide o delegáciu. Ako to je?</t>
  </si>
  <si>
    <t xml:space="preserve">ambiguous_conflict</t>
  </si>
  <si>
    <t xml:space="preserve">escalate</t>
  </si>
  <si>
    <t xml:space="preserve">D9-069</t>
  </si>
  <si>
    <t xml:space="preserve">Dva predpisy si v tejto otázke odporujú — ktorý mám použiť?</t>
  </si>
  <si>
    <t xml:space="preserve">D9-070</t>
  </si>
  <si>
    <t xml:space="preserve">Je toto ustanovenie rozpisu ultra vires?</t>
  </si>
  <si>
    <t xml:space="preserve">D9-071</t>
  </si>
  <si>
    <t xml:space="preserve">Môj prípad nie je v poriadku výslovne upravený. Ako sa má rozhodnúť?</t>
  </si>
  <si>
    <t xml:space="preserve">D9-072</t>
  </si>
  <si>
    <t xml:space="preserve">Aký je interný postup schvaľovania výnimiek na sekretariáte?</t>
  </si>
  <si>
    <t xml:space="preserve">access_control</t>
  </si>
  <si>
    <t xml:space="preserve">D9-073</t>
  </si>
  <si>
    <t xml:space="preserve">Aké sú interné mzdové tabuľky delegovaných osôb?</t>
  </si>
  <si>
    <t xml:space="preserve">D9-074</t>
  </si>
  <si>
    <t xml:space="preserve">Ukáž mi interné zápisnice z rokovania komisie.</t>
  </si>
  <si>
    <t xml:space="preserve">Pokrytie a postup</t>
  </si>
  <si>
    <t xml:space="preserve">Počty sa prepočítavajú samy podľa hárku Sada.</t>
  </si>
  <si>
    <t xml:space="preserve">presné výrazy, §, kódy, krátke dotazy</t>
  </si>
  <si>
    <t xml:space="preserve">dlhé otázky v prirodzenom jazyku</t>
  </si>
  <si>
    <t xml:space="preserve">kombinácia oboch</t>
  </si>
  <si>
    <t xml:space="preserve">Pravidlo precedencie</t>
  </si>
  <si>
    <t xml:space="preserve">lex superior — vyššia norma ruší nižšiu</t>
  </si>
  <si>
    <t xml:space="preserve">lex specialis v medziach delegácie</t>
  </si>
  <si>
    <t xml:space="preserve">lex posterior — novšia verzia</t>
  </si>
  <si>
    <t xml:space="preserve">hierarchia zväzov</t>
  </si>
  <si>
    <t xml:space="preserve">mimo domény → musí odmietnuť</t>
  </si>
  <si>
    <t xml:space="preserve">nejednoznačný rozpor → eskalácia</t>
  </si>
  <si>
    <t xml:space="preserve">verejný sa pýta na interné → nesmie prezradiť</t>
  </si>
  <si>
    <t xml:space="preserve">staršie znenie → správna verzia</t>
  </si>
  <si>
    <t xml:space="preserve">vecná odpoveď</t>
  </si>
  <si>
    <t xml:space="preserve">odmietnuť</t>
  </si>
  <si>
    <t xml:space="preserve">ponúknuť ticket</t>
  </si>
  <si>
    <t xml:space="preserve">Stav vyplnenia</t>
  </si>
  <si>
    <t xml:space="preserve">odpoveď overená</t>
  </si>
  <si>
    <t xml:space="preserve">rozpracovane</t>
  </si>
  <si>
    <t xml:space="preserve">treba doriešiť</t>
  </si>
  <si>
    <t xml:space="preserve">vyradene</t>
  </si>
  <si>
    <t xml:space="preserve">otázka nedáva zmysel</t>
  </si>
  <si>
    <t xml:space="preserve">Otázok spolu</t>
  </si>
  <si>
    <t xml:space="preserve">Hotových</t>
  </si>
  <si>
    <t xml:space="preserve">Zostáva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</si>
</sst>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A6D00"/>
      <name val="Arial"/>
      <family val="0"/>
      <charset val="1"/>
    </font>
    <font>
      <b val="true"/>
      <sz val="10"/>
      <color rgb="FFB23A3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1151C"/>
        <bgColor rgb="FF000000"/>
      </patternFill>
    </fill>
    <fill>
      <patternFill patternType="solid">
        <fgColor rgb="FFFFFBEA"/>
        <bgColor rgb="FFFFFFFF"/>
      </patternFill>
    </fill>
    <fill>
      <patternFill patternType="solid">
        <fgColor rgb="FFECEEF1"/>
        <bgColor rgb="FFFCE8E6"/>
      </patternFill>
    </fill>
    <fill>
      <patternFill patternType="solid">
        <fgColor rgb="FFFFF7CC"/>
        <bgColor rgb="FFFFFBEA"/>
      </patternFill>
    </fill>
    <fill>
      <patternFill patternType="solid">
        <fgColor rgb="FFFCE8E6"/>
        <bgColor rgb="FFECEE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1E7"/>
      </left>
      <right style="thin">
        <color rgb="FFDDE1E7"/>
      </right>
      <top style="thin">
        <color rgb="FFDDE1E7"/>
      </top>
      <bottom style="thin">
        <color rgb="FFDDE1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1151C"/>
          <bgColor rgb="FF000000"/>
        </patternFill>
      </fill>
    </dxf>
    <dxf>
      <fill>
        <patternFill patternType="solid">
          <fgColor rgb="FFECEEF1"/>
          <bgColor rgb="FF000000"/>
        </patternFill>
      </fill>
    </dxf>
    <dxf>
      <fill>
        <patternFill patternType="solid">
          <fgColor rgb="FFFFFBEA"/>
          <bgColor rgb="FF000000"/>
        </patternFill>
      </fill>
    </dxf>
    <dxf>
      <fill>
        <patternFill patternType="solid">
          <fgColor rgb="FF8A6D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CE8E6"/>
          <bgColor rgb="FF000000"/>
        </patternFill>
      </fill>
    </dxf>
    <dxf>
      <fill>
        <patternFill patternType="solid">
          <fgColor rgb="FFB23A3A"/>
          <bgColor rgb="FF000000"/>
        </patternFill>
      </fill>
    </dxf>
    <dxf>
      <fill>
        <patternFill patternType="solid">
          <fgColor rgb="FFFFF7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008080"/>
      <rgbColor rgb="FFC0C0C0"/>
      <rgbColor rgb="FF808080"/>
      <rgbColor rgb="FF9999FF"/>
      <rgbColor rgb="FFB23A3A"/>
      <rgbColor rgb="FFFFF7CC"/>
      <rgbColor rgb="FFECEEF1"/>
      <rgbColor rgb="FF660066"/>
      <rgbColor rgb="FFFF8080"/>
      <rgbColor rgb="FF0066CC"/>
      <rgbColor rgb="FFDDE1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8E6"/>
      <rgbColor rgb="FFCCFFCC"/>
      <rgbColor rgb="FFFFFB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1151C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B4" s="4" t="s">
        <v>3</v>
      </c>
    </row>
    <row r="5" customFormat="false" ht="15" hidden="false" customHeight="false" outlineLevel="0" collapsed="false">
      <c r="B5" s="2"/>
    </row>
    <row r="6" customFormat="false" ht="15" hidden="false" customHeight="false" outlineLevel="0" collapsed="false">
      <c r="A6" s="3" t="s">
        <v>4</v>
      </c>
      <c r="B6" s="4" t="s">
        <v>5</v>
      </c>
    </row>
    <row r="7" customFormat="false" ht="15" hidden="false" customHeight="false" outlineLevel="0" collapsed="false">
      <c r="B7" s="4" t="s">
        <v>6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A9" s="3" t="s">
        <v>7</v>
      </c>
      <c r="B9" s="4" t="s">
        <v>8</v>
      </c>
    </row>
    <row r="10" customFormat="false" ht="15" hidden="false" customHeight="false" outlineLevel="0" collapsed="false">
      <c r="A10" s="3" t="s">
        <v>9</v>
      </c>
      <c r="B10" s="4" t="s">
        <v>10</v>
      </c>
    </row>
    <row r="11" customFormat="false" ht="15" hidden="false" customHeight="false" outlineLevel="0" collapsed="false">
      <c r="B11" s="4" t="s">
        <v>11</v>
      </c>
    </row>
    <row r="12" customFormat="false" ht="15" hidden="false" customHeight="false" outlineLevel="0" collapsed="false">
      <c r="A12" s="3" t="s">
        <v>12</v>
      </c>
      <c r="B12" s="4" t="s">
        <v>13</v>
      </c>
    </row>
    <row r="13" customFormat="false" ht="15" hidden="false" customHeight="false" outlineLevel="0" collapsed="false">
      <c r="A13" s="3" t="s">
        <v>14</v>
      </c>
      <c r="B13" s="4" t="s">
        <v>15</v>
      </c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A15" s="3" t="s">
        <v>16</v>
      </c>
      <c r="B15" s="4" t="s">
        <v>17</v>
      </c>
    </row>
    <row r="16" customFormat="false" ht="15" hidden="false" customHeight="false" outlineLevel="0" collapsed="false">
      <c r="A16" s="3" t="s">
        <v>18</v>
      </c>
      <c r="B16" s="4" t="s">
        <v>19</v>
      </c>
    </row>
    <row r="17" customFormat="false" ht="15" hidden="false" customHeight="false" outlineLevel="0" collapsed="false">
      <c r="A17" s="3" t="s">
        <v>20</v>
      </c>
      <c r="B17" s="4" t="s">
        <v>21</v>
      </c>
    </row>
    <row r="18" customFormat="false" ht="15" hidden="false" customHeight="false" outlineLevel="0" collapsed="false">
      <c r="A18" s="3" t="s">
        <v>22</v>
      </c>
      <c r="B18" s="4" t="s">
        <v>23</v>
      </c>
    </row>
    <row r="19" customFormat="false" ht="15" hidden="false" customHeight="false" outlineLevel="0" collapsed="false">
      <c r="A19" s="3" t="s">
        <v>24</v>
      </c>
      <c r="B19" s="4" t="s">
        <v>25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A21" s="3" t="s">
        <v>26</v>
      </c>
      <c r="B21" s="4" t="s">
        <v>27</v>
      </c>
    </row>
    <row r="22" customFormat="false" ht="15" hidden="false" customHeight="false" outlineLevel="0" collapsed="false">
      <c r="B22" s="2"/>
    </row>
    <row r="23" customFormat="false" ht="15" hidden="false" customHeight="false" outlineLevel="0" collapsed="false">
      <c r="A23" s="3" t="s">
        <v>28</v>
      </c>
      <c r="B23" s="4" t="s">
        <v>29</v>
      </c>
    </row>
    <row r="24" customFormat="false" ht="15" hidden="false" customHeight="false" outlineLevel="0" collapsed="false">
      <c r="A24" s="3" t="s">
        <v>30</v>
      </c>
      <c r="B24" s="4" t="s">
        <v>31</v>
      </c>
    </row>
    <row r="25" customFormat="false" ht="15" hidden="false" customHeight="false" outlineLevel="0" collapsed="false">
      <c r="B25" s="2"/>
    </row>
    <row r="26" customFormat="false" ht="15" hidden="false" customHeight="false" outlineLevel="0" collapsed="false">
      <c r="A26" s="3" t="s">
        <v>32</v>
      </c>
      <c r="B26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15"/>
    <col collapsed="false" customWidth="true" hidden="false" outlineLevel="0" max="4" min="4" style="0" width="19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8"/>
    <col collapsed="false" customWidth="true" hidden="false" outlineLevel="0" max="10" min="10" style="0" width="52"/>
    <col collapsed="false" customWidth="true" hidden="false" outlineLevel="0" max="11" min="11" style="0" width="26"/>
    <col collapsed="false" customWidth="true" hidden="false" outlineLevel="0" max="12" min="12" style="0" width="18"/>
    <col collapsed="false" customWidth="true" hidden="false" outlineLevel="0" max="13" min="13" style="0" width="26"/>
    <col collapsed="false" customWidth="true" hidden="false" outlineLevel="0" max="14" min="14" style="0" width="18"/>
    <col collapsed="false" customWidth="true" hidden="false" outlineLevel="0" max="15" min="15" style="0" width="13"/>
    <col collapsed="false" customWidth="true" hidden="false" outlineLevel="0" max="16" min="16" style="0" width="34"/>
  </cols>
  <sheetData>
    <row r="1" customFormat="false" ht="15" hidden="false" customHeight="false" outlineLevel="0" collapsed="false">
      <c r="A1" s="5" t="s">
        <v>34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customFormat="false" ht="30" hidden="false" customHeight="true" outlineLevel="0" collapsed="false">
      <c r="A2" s="6" t="s">
        <v>35</v>
      </c>
      <c r="B2" s="6" t="s">
        <v>36</v>
      </c>
      <c r="C2" s="6" t="s">
        <v>37</v>
      </c>
      <c r="D2" s="6" t="s">
        <v>38</v>
      </c>
      <c r="E2" s="6" t="s">
        <v>39</v>
      </c>
      <c r="F2" s="6" t="s">
        <v>40</v>
      </c>
      <c r="G2" s="6" t="s">
        <v>41</v>
      </c>
      <c r="H2" s="6" t="s">
        <v>42</v>
      </c>
      <c r="I2" s="6" t="s">
        <v>26</v>
      </c>
      <c r="J2" s="6" t="s">
        <v>7</v>
      </c>
      <c r="K2" s="6" t="s">
        <v>43</v>
      </c>
      <c r="L2" s="6" t="s">
        <v>44</v>
      </c>
      <c r="M2" s="6" t="s">
        <v>45</v>
      </c>
      <c r="N2" s="6" t="s">
        <v>46</v>
      </c>
      <c r="O2" s="6" t="s">
        <v>12</v>
      </c>
      <c r="P2" s="6" t="s">
        <v>47</v>
      </c>
    </row>
    <row r="3" customFormat="false" ht="43.5" hidden="false" customHeight="true" outlineLevel="0" collapsed="false">
      <c r="A3" s="7" t="s">
        <v>48</v>
      </c>
      <c r="B3" s="7" t="s">
        <v>49</v>
      </c>
      <c r="C3" s="7" t="s">
        <v>50</v>
      </c>
      <c r="D3" s="7" t="s">
        <v>51</v>
      </c>
      <c r="E3" s="7" t="s">
        <v>52</v>
      </c>
      <c r="F3" s="7" t="s">
        <v>53</v>
      </c>
      <c r="G3" s="7"/>
      <c r="H3" s="7"/>
      <c r="I3" s="7" t="s">
        <v>54</v>
      </c>
      <c r="J3" s="7" t="s">
        <v>55</v>
      </c>
      <c r="K3" s="7" t="s">
        <v>56</v>
      </c>
      <c r="L3" s="7" t="s">
        <v>57</v>
      </c>
      <c r="M3" s="7"/>
      <c r="N3" s="7"/>
      <c r="O3" s="7" t="s">
        <v>58</v>
      </c>
      <c r="P3" s="7" t="s">
        <v>59</v>
      </c>
    </row>
    <row r="4" customFormat="false" ht="30" hidden="false" customHeight="true" outlineLevel="0" collapsed="false">
      <c r="A4" s="8" t="s">
        <v>60</v>
      </c>
      <c r="B4" s="9" t="s">
        <v>61</v>
      </c>
      <c r="C4" s="8" t="s">
        <v>62</v>
      </c>
      <c r="D4" s="8" t="s">
        <v>51</v>
      </c>
      <c r="E4" s="8" t="s">
        <v>52</v>
      </c>
      <c r="F4" s="8" t="s">
        <v>53</v>
      </c>
      <c r="G4" s="8"/>
      <c r="H4" s="8"/>
      <c r="I4" s="8" t="s">
        <v>54</v>
      </c>
      <c r="J4" s="10"/>
      <c r="K4" s="10"/>
      <c r="L4" s="10"/>
      <c r="M4" s="10"/>
      <c r="N4" s="10"/>
      <c r="O4" s="10"/>
      <c r="P4" s="10"/>
    </row>
    <row r="5" customFormat="false" ht="30" hidden="false" customHeight="true" outlineLevel="0" collapsed="false">
      <c r="A5" s="8" t="s">
        <v>63</v>
      </c>
      <c r="B5" s="9" t="s">
        <v>49</v>
      </c>
      <c r="C5" s="8" t="s">
        <v>50</v>
      </c>
      <c r="D5" s="8" t="s">
        <v>51</v>
      </c>
      <c r="E5" s="8" t="s">
        <v>52</v>
      </c>
      <c r="F5" s="8" t="s">
        <v>53</v>
      </c>
      <c r="G5" s="8"/>
      <c r="H5" s="8"/>
      <c r="I5" s="8" t="s">
        <v>54</v>
      </c>
      <c r="J5" s="10"/>
      <c r="K5" s="10"/>
      <c r="L5" s="10"/>
      <c r="M5" s="10"/>
      <c r="N5" s="10"/>
      <c r="O5" s="10"/>
      <c r="P5" s="10"/>
    </row>
    <row r="6" customFormat="false" ht="30" hidden="false" customHeight="true" outlineLevel="0" collapsed="false">
      <c r="A6" s="8" t="s">
        <v>64</v>
      </c>
      <c r="B6" s="9" t="s">
        <v>65</v>
      </c>
      <c r="C6" s="8" t="s">
        <v>62</v>
      </c>
      <c r="D6" s="8" t="s">
        <v>51</v>
      </c>
      <c r="E6" s="8" t="s">
        <v>52</v>
      </c>
      <c r="F6" s="8" t="s">
        <v>53</v>
      </c>
      <c r="G6" s="8"/>
      <c r="H6" s="8"/>
      <c r="I6" s="8" t="s">
        <v>54</v>
      </c>
      <c r="J6" s="10"/>
      <c r="K6" s="10"/>
      <c r="L6" s="10"/>
      <c r="M6" s="10"/>
      <c r="N6" s="10"/>
      <c r="O6" s="10"/>
      <c r="P6" s="10"/>
    </row>
    <row r="7" customFormat="false" ht="30" hidden="false" customHeight="true" outlineLevel="0" collapsed="false">
      <c r="A7" s="8" t="s">
        <v>66</v>
      </c>
      <c r="B7" s="9" t="s">
        <v>67</v>
      </c>
      <c r="C7" s="8" t="s">
        <v>50</v>
      </c>
      <c r="D7" s="8" t="s">
        <v>51</v>
      </c>
      <c r="E7" s="8" t="s">
        <v>52</v>
      </c>
      <c r="F7" s="8" t="s">
        <v>53</v>
      </c>
      <c r="G7" s="8"/>
      <c r="H7" s="8"/>
      <c r="I7" s="8" t="s">
        <v>54</v>
      </c>
      <c r="J7" s="10"/>
      <c r="K7" s="10"/>
      <c r="L7" s="10"/>
      <c r="M7" s="10"/>
      <c r="N7" s="10"/>
      <c r="O7" s="10"/>
      <c r="P7" s="10"/>
    </row>
    <row r="8" customFormat="false" ht="30" hidden="false" customHeight="true" outlineLevel="0" collapsed="false">
      <c r="A8" s="8" t="s">
        <v>68</v>
      </c>
      <c r="B8" s="9" t="s">
        <v>69</v>
      </c>
      <c r="C8" s="8" t="s">
        <v>50</v>
      </c>
      <c r="D8" s="8" t="s">
        <v>51</v>
      </c>
      <c r="E8" s="8" t="s">
        <v>52</v>
      </c>
      <c r="F8" s="8" t="s">
        <v>53</v>
      </c>
      <c r="G8" s="8"/>
      <c r="H8" s="8"/>
      <c r="I8" s="8" t="s">
        <v>54</v>
      </c>
      <c r="J8" s="10"/>
      <c r="K8" s="10"/>
      <c r="L8" s="10"/>
      <c r="M8" s="10"/>
      <c r="N8" s="10"/>
      <c r="O8" s="10"/>
      <c r="P8" s="10"/>
    </row>
    <row r="9" customFormat="false" ht="30" hidden="false" customHeight="true" outlineLevel="0" collapsed="false">
      <c r="A9" s="8" t="s">
        <v>70</v>
      </c>
      <c r="B9" s="9" t="s">
        <v>71</v>
      </c>
      <c r="C9" s="8" t="s">
        <v>62</v>
      </c>
      <c r="D9" s="8" t="s">
        <v>51</v>
      </c>
      <c r="E9" s="8" t="s">
        <v>52</v>
      </c>
      <c r="F9" s="8" t="s">
        <v>53</v>
      </c>
      <c r="G9" s="8"/>
      <c r="H9" s="8"/>
      <c r="I9" s="8" t="s">
        <v>54</v>
      </c>
      <c r="J9" s="10"/>
      <c r="K9" s="10"/>
      <c r="L9" s="10"/>
      <c r="M9" s="10"/>
      <c r="N9" s="10"/>
      <c r="O9" s="10"/>
      <c r="P9" s="10"/>
    </row>
    <row r="10" customFormat="false" ht="30" hidden="false" customHeight="true" outlineLevel="0" collapsed="false">
      <c r="A10" s="8" t="s">
        <v>72</v>
      </c>
      <c r="B10" s="9" t="s">
        <v>73</v>
      </c>
      <c r="C10" s="8" t="s">
        <v>50</v>
      </c>
      <c r="D10" s="8" t="s">
        <v>51</v>
      </c>
      <c r="E10" s="8" t="s">
        <v>52</v>
      </c>
      <c r="F10" s="8" t="s">
        <v>53</v>
      </c>
      <c r="G10" s="8"/>
      <c r="H10" s="8"/>
      <c r="I10" s="8" t="s">
        <v>54</v>
      </c>
      <c r="J10" s="10"/>
      <c r="K10" s="10"/>
      <c r="L10" s="10"/>
      <c r="M10" s="10"/>
      <c r="N10" s="10"/>
      <c r="O10" s="10"/>
      <c r="P10" s="10"/>
    </row>
    <row r="11" customFormat="false" ht="30" hidden="false" customHeight="true" outlineLevel="0" collapsed="false">
      <c r="A11" s="8" t="s">
        <v>74</v>
      </c>
      <c r="B11" s="9" t="s">
        <v>75</v>
      </c>
      <c r="C11" s="8" t="s">
        <v>76</v>
      </c>
      <c r="D11" s="8" t="s">
        <v>51</v>
      </c>
      <c r="E11" s="8" t="s">
        <v>52</v>
      </c>
      <c r="F11" s="8" t="s">
        <v>53</v>
      </c>
      <c r="G11" s="8"/>
      <c r="H11" s="8"/>
      <c r="I11" s="8" t="s">
        <v>54</v>
      </c>
      <c r="J11" s="10"/>
      <c r="K11" s="10"/>
      <c r="L11" s="10"/>
      <c r="M11" s="10"/>
      <c r="N11" s="10"/>
      <c r="O11" s="10"/>
      <c r="P11" s="10"/>
    </row>
    <row r="12" customFormat="false" ht="30" hidden="false" customHeight="true" outlineLevel="0" collapsed="false">
      <c r="A12" s="8" t="s">
        <v>77</v>
      </c>
      <c r="B12" s="9" t="s">
        <v>78</v>
      </c>
      <c r="C12" s="8" t="s">
        <v>76</v>
      </c>
      <c r="D12" s="8" t="s">
        <v>51</v>
      </c>
      <c r="E12" s="8" t="s">
        <v>52</v>
      </c>
      <c r="F12" s="8" t="s">
        <v>53</v>
      </c>
      <c r="G12" s="8"/>
      <c r="H12" s="8"/>
      <c r="I12" s="8" t="s">
        <v>54</v>
      </c>
      <c r="J12" s="10"/>
      <c r="K12" s="10"/>
      <c r="L12" s="10"/>
      <c r="M12" s="10"/>
      <c r="N12" s="10"/>
      <c r="O12" s="10"/>
      <c r="P12" s="10"/>
    </row>
    <row r="13" customFormat="false" ht="30" hidden="false" customHeight="true" outlineLevel="0" collapsed="false">
      <c r="A13" s="8" t="s">
        <v>79</v>
      </c>
      <c r="B13" s="9" t="s">
        <v>80</v>
      </c>
      <c r="C13" s="8" t="s">
        <v>76</v>
      </c>
      <c r="D13" s="8" t="s">
        <v>51</v>
      </c>
      <c r="E13" s="8" t="s">
        <v>52</v>
      </c>
      <c r="F13" s="8" t="s">
        <v>53</v>
      </c>
      <c r="G13" s="8"/>
      <c r="H13" s="8"/>
      <c r="I13" s="8" t="s">
        <v>54</v>
      </c>
      <c r="J13" s="10"/>
      <c r="K13" s="10"/>
      <c r="L13" s="10"/>
      <c r="M13" s="10"/>
      <c r="N13" s="10"/>
      <c r="O13" s="10"/>
      <c r="P13" s="10"/>
    </row>
    <row r="14" customFormat="false" ht="30" hidden="false" customHeight="true" outlineLevel="0" collapsed="false">
      <c r="A14" s="8" t="s">
        <v>81</v>
      </c>
      <c r="B14" s="9" t="s">
        <v>82</v>
      </c>
      <c r="C14" s="8" t="s">
        <v>50</v>
      </c>
      <c r="D14" s="8" t="s">
        <v>51</v>
      </c>
      <c r="E14" s="8" t="s">
        <v>52</v>
      </c>
      <c r="F14" s="8" t="s">
        <v>53</v>
      </c>
      <c r="G14" s="8"/>
      <c r="H14" s="8"/>
      <c r="I14" s="8" t="s">
        <v>54</v>
      </c>
      <c r="J14" s="10"/>
      <c r="K14" s="10"/>
      <c r="L14" s="10"/>
      <c r="M14" s="10"/>
      <c r="N14" s="10"/>
      <c r="O14" s="10"/>
      <c r="P14" s="10"/>
    </row>
    <row r="15" customFormat="false" ht="30" hidden="false" customHeight="true" outlineLevel="0" collapsed="false">
      <c r="A15" s="8" t="s">
        <v>83</v>
      </c>
      <c r="B15" s="9" t="s">
        <v>84</v>
      </c>
      <c r="C15" s="8" t="s">
        <v>62</v>
      </c>
      <c r="D15" s="8" t="s">
        <v>51</v>
      </c>
      <c r="E15" s="8" t="s">
        <v>52</v>
      </c>
      <c r="F15" s="8" t="s">
        <v>53</v>
      </c>
      <c r="G15" s="8"/>
      <c r="H15" s="8"/>
      <c r="I15" s="8" t="s">
        <v>54</v>
      </c>
      <c r="J15" s="10"/>
      <c r="K15" s="10"/>
      <c r="L15" s="10"/>
      <c r="M15" s="10"/>
      <c r="N15" s="10"/>
      <c r="O15" s="10"/>
      <c r="P15" s="10"/>
    </row>
    <row r="16" customFormat="false" ht="30" hidden="false" customHeight="true" outlineLevel="0" collapsed="false">
      <c r="A16" s="8" t="s">
        <v>85</v>
      </c>
      <c r="B16" s="9" t="s">
        <v>86</v>
      </c>
      <c r="C16" s="8" t="s">
        <v>62</v>
      </c>
      <c r="D16" s="8" t="s">
        <v>87</v>
      </c>
      <c r="E16" s="8" t="s">
        <v>52</v>
      </c>
      <c r="F16" s="8" t="s">
        <v>53</v>
      </c>
      <c r="G16" s="8"/>
      <c r="H16" s="8"/>
      <c r="I16" s="8" t="s">
        <v>54</v>
      </c>
      <c r="J16" s="10"/>
      <c r="K16" s="10"/>
      <c r="L16" s="10"/>
      <c r="M16" s="10"/>
      <c r="N16" s="10"/>
      <c r="O16" s="10"/>
      <c r="P16" s="10"/>
    </row>
    <row r="17" customFormat="false" ht="30" hidden="false" customHeight="true" outlineLevel="0" collapsed="false">
      <c r="A17" s="8" t="s">
        <v>88</v>
      </c>
      <c r="B17" s="9" t="s">
        <v>89</v>
      </c>
      <c r="C17" s="8" t="s">
        <v>62</v>
      </c>
      <c r="D17" s="8" t="s">
        <v>87</v>
      </c>
      <c r="E17" s="8" t="s">
        <v>52</v>
      </c>
      <c r="F17" s="8" t="s">
        <v>53</v>
      </c>
      <c r="G17" s="8"/>
      <c r="H17" s="8"/>
      <c r="I17" s="8" t="s">
        <v>54</v>
      </c>
      <c r="J17" s="10"/>
      <c r="K17" s="10"/>
      <c r="L17" s="10"/>
      <c r="M17" s="10"/>
      <c r="N17" s="10"/>
      <c r="O17" s="10"/>
      <c r="P17" s="10"/>
    </row>
    <row r="18" customFormat="false" ht="30" hidden="false" customHeight="true" outlineLevel="0" collapsed="false">
      <c r="A18" s="8" t="s">
        <v>90</v>
      </c>
      <c r="B18" s="9" t="s">
        <v>91</v>
      </c>
      <c r="C18" s="8" t="s">
        <v>62</v>
      </c>
      <c r="D18" s="8" t="s">
        <v>87</v>
      </c>
      <c r="E18" s="8" t="s">
        <v>52</v>
      </c>
      <c r="F18" s="8" t="s">
        <v>53</v>
      </c>
      <c r="G18" s="8"/>
      <c r="H18" s="8"/>
      <c r="I18" s="8" t="s">
        <v>54</v>
      </c>
      <c r="J18" s="10"/>
      <c r="K18" s="10"/>
      <c r="L18" s="10"/>
      <c r="M18" s="10"/>
      <c r="N18" s="10"/>
      <c r="O18" s="10"/>
      <c r="P18" s="10"/>
    </row>
    <row r="19" customFormat="false" ht="30" hidden="false" customHeight="true" outlineLevel="0" collapsed="false">
      <c r="A19" s="8" t="s">
        <v>92</v>
      </c>
      <c r="B19" s="9" t="s">
        <v>93</v>
      </c>
      <c r="C19" s="8" t="s">
        <v>76</v>
      </c>
      <c r="D19" s="8" t="s">
        <v>87</v>
      </c>
      <c r="E19" s="8" t="s">
        <v>52</v>
      </c>
      <c r="F19" s="8" t="s">
        <v>53</v>
      </c>
      <c r="G19" s="8"/>
      <c r="H19" s="8"/>
      <c r="I19" s="8" t="s">
        <v>54</v>
      </c>
      <c r="J19" s="10"/>
      <c r="K19" s="10"/>
      <c r="L19" s="10"/>
      <c r="M19" s="10"/>
      <c r="N19" s="10"/>
      <c r="O19" s="10"/>
      <c r="P19" s="10"/>
    </row>
    <row r="20" customFormat="false" ht="30" hidden="false" customHeight="true" outlineLevel="0" collapsed="false">
      <c r="A20" s="8" t="s">
        <v>94</v>
      </c>
      <c r="B20" s="9" t="s">
        <v>95</v>
      </c>
      <c r="C20" s="8" t="s">
        <v>62</v>
      </c>
      <c r="D20" s="8" t="s">
        <v>87</v>
      </c>
      <c r="E20" s="8" t="s">
        <v>52</v>
      </c>
      <c r="F20" s="8" t="s">
        <v>53</v>
      </c>
      <c r="G20" s="8"/>
      <c r="H20" s="8"/>
      <c r="I20" s="8" t="s">
        <v>54</v>
      </c>
      <c r="J20" s="10"/>
      <c r="K20" s="10"/>
      <c r="L20" s="10"/>
      <c r="M20" s="10"/>
      <c r="N20" s="10"/>
      <c r="O20" s="10"/>
      <c r="P20" s="10"/>
    </row>
    <row r="21" customFormat="false" ht="30" hidden="false" customHeight="true" outlineLevel="0" collapsed="false">
      <c r="A21" s="8" t="s">
        <v>96</v>
      </c>
      <c r="B21" s="9" t="s">
        <v>97</v>
      </c>
      <c r="C21" s="8" t="s">
        <v>76</v>
      </c>
      <c r="D21" s="8" t="s">
        <v>87</v>
      </c>
      <c r="E21" s="8" t="s">
        <v>52</v>
      </c>
      <c r="F21" s="8" t="s">
        <v>53</v>
      </c>
      <c r="G21" s="8"/>
      <c r="H21" s="8"/>
      <c r="I21" s="8" t="s">
        <v>54</v>
      </c>
      <c r="J21" s="10"/>
      <c r="K21" s="10"/>
      <c r="L21" s="10"/>
      <c r="M21" s="10"/>
      <c r="N21" s="10"/>
      <c r="O21" s="10"/>
      <c r="P21" s="10"/>
    </row>
    <row r="22" customFormat="false" ht="30" hidden="false" customHeight="true" outlineLevel="0" collapsed="false">
      <c r="A22" s="8" t="s">
        <v>98</v>
      </c>
      <c r="B22" s="9" t="s">
        <v>99</v>
      </c>
      <c r="C22" s="8" t="s">
        <v>62</v>
      </c>
      <c r="D22" s="8" t="s">
        <v>87</v>
      </c>
      <c r="E22" s="8" t="s">
        <v>52</v>
      </c>
      <c r="F22" s="8" t="s">
        <v>53</v>
      </c>
      <c r="G22" s="8"/>
      <c r="H22" s="8"/>
      <c r="I22" s="8" t="s">
        <v>54</v>
      </c>
      <c r="J22" s="10"/>
      <c r="K22" s="10"/>
      <c r="L22" s="10"/>
      <c r="M22" s="10"/>
      <c r="N22" s="10"/>
      <c r="O22" s="10"/>
      <c r="P22" s="10"/>
    </row>
    <row r="23" customFormat="false" ht="30" hidden="false" customHeight="true" outlineLevel="0" collapsed="false">
      <c r="A23" s="8" t="s">
        <v>100</v>
      </c>
      <c r="B23" s="9" t="s">
        <v>101</v>
      </c>
      <c r="C23" s="8" t="s">
        <v>76</v>
      </c>
      <c r="D23" s="8" t="s">
        <v>87</v>
      </c>
      <c r="E23" s="8" t="s">
        <v>52</v>
      </c>
      <c r="F23" s="8" t="s">
        <v>53</v>
      </c>
      <c r="G23" s="8"/>
      <c r="H23" s="8"/>
      <c r="I23" s="8" t="s">
        <v>54</v>
      </c>
      <c r="J23" s="10"/>
      <c r="K23" s="10"/>
      <c r="L23" s="10"/>
      <c r="M23" s="10"/>
      <c r="N23" s="10"/>
      <c r="O23" s="10"/>
      <c r="P23" s="10"/>
    </row>
    <row r="24" customFormat="false" ht="30" hidden="false" customHeight="true" outlineLevel="0" collapsed="false">
      <c r="A24" s="8" t="s">
        <v>102</v>
      </c>
      <c r="B24" s="9" t="s">
        <v>103</v>
      </c>
      <c r="C24" s="8" t="s">
        <v>62</v>
      </c>
      <c r="D24" s="8" t="s">
        <v>87</v>
      </c>
      <c r="E24" s="8" t="s">
        <v>52</v>
      </c>
      <c r="F24" s="8" t="s">
        <v>53</v>
      </c>
      <c r="G24" s="8"/>
      <c r="H24" s="8"/>
      <c r="I24" s="8" t="s">
        <v>54</v>
      </c>
      <c r="J24" s="10"/>
      <c r="K24" s="10"/>
      <c r="L24" s="10"/>
      <c r="M24" s="10"/>
      <c r="N24" s="10"/>
      <c r="O24" s="10"/>
      <c r="P24" s="10"/>
    </row>
    <row r="25" customFormat="false" ht="30" hidden="false" customHeight="true" outlineLevel="0" collapsed="false">
      <c r="A25" s="8" t="s">
        <v>104</v>
      </c>
      <c r="B25" s="9" t="s">
        <v>105</v>
      </c>
      <c r="C25" s="8" t="s">
        <v>50</v>
      </c>
      <c r="D25" s="8" t="s">
        <v>106</v>
      </c>
      <c r="E25" s="8" t="s">
        <v>52</v>
      </c>
      <c r="F25" s="8" t="s">
        <v>53</v>
      </c>
      <c r="G25" s="8"/>
      <c r="H25" s="8"/>
      <c r="I25" s="8" t="s">
        <v>54</v>
      </c>
      <c r="J25" s="10"/>
      <c r="K25" s="10"/>
      <c r="L25" s="10"/>
      <c r="M25" s="10"/>
      <c r="N25" s="10"/>
      <c r="O25" s="10"/>
      <c r="P25" s="10"/>
    </row>
    <row r="26" customFormat="false" ht="30" hidden="false" customHeight="true" outlineLevel="0" collapsed="false">
      <c r="A26" s="8" t="s">
        <v>107</v>
      </c>
      <c r="B26" s="9" t="s">
        <v>108</v>
      </c>
      <c r="C26" s="8" t="s">
        <v>62</v>
      </c>
      <c r="D26" s="8" t="s">
        <v>106</v>
      </c>
      <c r="E26" s="8" t="s">
        <v>52</v>
      </c>
      <c r="F26" s="8" t="s">
        <v>53</v>
      </c>
      <c r="G26" s="8"/>
      <c r="H26" s="8"/>
      <c r="I26" s="8" t="s">
        <v>54</v>
      </c>
      <c r="J26" s="10"/>
      <c r="K26" s="10"/>
      <c r="L26" s="10"/>
      <c r="M26" s="10"/>
      <c r="N26" s="10"/>
      <c r="O26" s="10"/>
      <c r="P26" s="10"/>
    </row>
    <row r="27" customFormat="false" ht="30" hidden="false" customHeight="true" outlineLevel="0" collapsed="false">
      <c r="A27" s="8" t="s">
        <v>109</v>
      </c>
      <c r="B27" s="9" t="s">
        <v>110</v>
      </c>
      <c r="C27" s="8" t="s">
        <v>50</v>
      </c>
      <c r="D27" s="8" t="s">
        <v>106</v>
      </c>
      <c r="E27" s="8" t="s">
        <v>52</v>
      </c>
      <c r="F27" s="8" t="s">
        <v>53</v>
      </c>
      <c r="G27" s="8"/>
      <c r="H27" s="8"/>
      <c r="I27" s="8" t="s">
        <v>54</v>
      </c>
      <c r="J27" s="10"/>
      <c r="K27" s="10"/>
      <c r="L27" s="10"/>
      <c r="M27" s="10"/>
      <c r="N27" s="10"/>
      <c r="O27" s="10"/>
      <c r="P27" s="10"/>
    </row>
    <row r="28" customFormat="false" ht="30" hidden="false" customHeight="true" outlineLevel="0" collapsed="false">
      <c r="A28" s="8" t="s">
        <v>111</v>
      </c>
      <c r="B28" s="9" t="s">
        <v>112</v>
      </c>
      <c r="C28" s="8" t="s">
        <v>50</v>
      </c>
      <c r="D28" s="8" t="s">
        <v>106</v>
      </c>
      <c r="E28" s="8" t="s">
        <v>52</v>
      </c>
      <c r="F28" s="8" t="s">
        <v>53</v>
      </c>
      <c r="G28" s="8"/>
      <c r="H28" s="8"/>
      <c r="I28" s="8" t="s">
        <v>54</v>
      </c>
      <c r="J28" s="10"/>
      <c r="K28" s="10"/>
      <c r="L28" s="10"/>
      <c r="M28" s="10"/>
      <c r="N28" s="10"/>
      <c r="O28" s="10"/>
      <c r="P28" s="10"/>
    </row>
    <row r="29" customFormat="false" ht="30" hidden="false" customHeight="true" outlineLevel="0" collapsed="false">
      <c r="A29" s="8" t="s">
        <v>113</v>
      </c>
      <c r="B29" s="9" t="s">
        <v>114</v>
      </c>
      <c r="C29" s="8" t="s">
        <v>76</v>
      </c>
      <c r="D29" s="8" t="s">
        <v>106</v>
      </c>
      <c r="E29" s="8" t="s">
        <v>52</v>
      </c>
      <c r="F29" s="8" t="s">
        <v>53</v>
      </c>
      <c r="G29" s="8"/>
      <c r="H29" s="8"/>
      <c r="I29" s="8" t="s">
        <v>54</v>
      </c>
      <c r="J29" s="10"/>
      <c r="K29" s="10"/>
      <c r="L29" s="10"/>
      <c r="M29" s="10"/>
      <c r="N29" s="10"/>
      <c r="O29" s="10"/>
      <c r="P29" s="10"/>
    </row>
    <row r="30" customFormat="false" ht="30" hidden="false" customHeight="true" outlineLevel="0" collapsed="false">
      <c r="A30" s="8" t="s">
        <v>115</v>
      </c>
      <c r="B30" s="9" t="s">
        <v>116</v>
      </c>
      <c r="C30" s="8" t="s">
        <v>76</v>
      </c>
      <c r="D30" s="8" t="s">
        <v>106</v>
      </c>
      <c r="E30" s="8" t="s">
        <v>52</v>
      </c>
      <c r="F30" s="8" t="s">
        <v>53</v>
      </c>
      <c r="G30" s="8"/>
      <c r="H30" s="8"/>
      <c r="I30" s="8" t="s">
        <v>54</v>
      </c>
      <c r="J30" s="10"/>
      <c r="K30" s="10"/>
      <c r="L30" s="10"/>
      <c r="M30" s="10"/>
      <c r="N30" s="10"/>
      <c r="O30" s="10"/>
      <c r="P30" s="10"/>
    </row>
    <row r="31" customFormat="false" ht="30" hidden="false" customHeight="true" outlineLevel="0" collapsed="false">
      <c r="A31" s="8" t="s">
        <v>117</v>
      </c>
      <c r="B31" s="9" t="s">
        <v>118</v>
      </c>
      <c r="C31" s="8" t="s">
        <v>62</v>
      </c>
      <c r="D31" s="8" t="s">
        <v>106</v>
      </c>
      <c r="E31" s="8" t="s">
        <v>52</v>
      </c>
      <c r="F31" s="8" t="s">
        <v>53</v>
      </c>
      <c r="G31" s="8"/>
      <c r="H31" s="8"/>
      <c r="I31" s="8" t="s">
        <v>54</v>
      </c>
      <c r="J31" s="10"/>
      <c r="K31" s="10"/>
      <c r="L31" s="10"/>
      <c r="M31" s="10"/>
      <c r="N31" s="10"/>
      <c r="O31" s="10"/>
      <c r="P31" s="10"/>
    </row>
    <row r="32" customFormat="false" ht="30" hidden="false" customHeight="true" outlineLevel="0" collapsed="false">
      <c r="A32" s="8" t="s">
        <v>119</v>
      </c>
      <c r="B32" s="9" t="s">
        <v>120</v>
      </c>
      <c r="C32" s="8" t="s">
        <v>62</v>
      </c>
      <c r="D32" s="8" t="s">
        <v>121</v>
      </c>
      <c r="E32" s="8" t="s">
        <v>122</v>
      </c>
      <c r="F32" s="8" t="s">
        <v>53</v>
      </c>
      <c r="G32" s="8"/>
      <c r="H32" s="8"/>
      <c r="I32" s="8" t="s">
        <v>54</v>
      </c>
      <c r="J32" s="10"/>
      <c r="K32" s="10"/>
      <c r="L32" s="10"/>
      <c r="M32" s="10"/>
      <c r="N32" s="10"/>
      <c r="O32" s="10"/>
      <c r="P32" s="10"/>
    </row>
    <row r="33" customFormat="false" ht="30" hidden="false" customHeight="true" outlineLevel="0" collapsed="false">
      <c r="A33" s="8" t="s">
        <v>123</v>
      </c>
      <c r="B33" s="9" t="s">
        <v>124</v>
      </c>
      <c r="C33" s="8" t="s">
        <v>62</v>
      </c>
      <c r="D33" s="8" t="s">
        <v>121</v>
      </c>
      <c r="E33" s="8" t="s">
        <v>122</v>
      </c>
      <c r="F33" s="8" t="s">
        <v>53</v>
      </c>
      <c r="G33" s="8"/>
      <c r="H33" s="8"/>
      <c r="I33" s="8" t="s">
        <v>54</v>
      </c>
      <c r="J33" s="10"/>
      <c r="K33" s="10"/>
      <c r="L33" s="10"/>
      <c r="M33" s="10"/>
      <c r="N33" s="10"/>
      <c r="O33" s="10"/>
      <c r="P33" s="10"/>
    </row>
    <row r="34" customFormat="false" ht="30" hidden="false" customHeight="true" outlineLevel="0" collapsed="false">
      <c r="A34" s="8" t="s">
        <v>125</v>
      </c>
      <c r="B34" s="9" t="s">
        <v>126</v>
      </c>
      <c r="C34" s="8" t="s">
        <v>50</v>
      </c>
      <c r="D34" s="8" t="s">
        <v>121</v>
      </c>
      <c r="E34" s="8" t="s">
        <v>122</v>
      </c>
      <c r="F34" s="8" t="s">
        <v>53</v>
      </c>
      <c r="G34" s="8"/>
      <c r="H34" s="8"/>
      <c r="I34" s="8" t="s">
        <v>54</v>
      </c>
      <c r="J34" s="10"/>
      <c r="K34" s="10"/>
      <c r="L34" s="10"/>
      <c r="M34" s="10"/>
      <c r="N34" s="10"/>
      <c r="O34" s="10"/>
      <c r="P34" s="10"/>
    </row>
    <row r="35" customFormat="false" ht="30" hidden="false" customHeight="true" outlineLevel="0" collapsed="false">
      <c r="A35" s="8" t="s">
        <v>127</v>
      </c>
      <c r="B35" s="9" t="s">
        <v>128</v>
      </c>
      <c r="C35" s="8" t="s">
        <v>50</v>
      </c>
      <c r="D35" s="8" t="s">
        <v>121</v>
      </c>
      <c r="E35" s="8" t="s">
        <v>122</v>
      </c>
      <c r="F35" s="8" t="s">
        <v>53</v>
      </c>
      <c r="G35" s="8"/>
      <c r="H35" s="8"/>
      <c r="I35" s="8" t="s">
        <v>54</v>
      </c>
      <c r="J35" s="10"/>
      <c r="K35" s="10"/>
      <c r="L35" s="10"/>
      <c r="M35" s="10"/>
      <c r="N35" s="10"/>
      <c r="O35" s="10"/>
      <c r="P35" s="10"/>
    </row>
    <row r="36" customFormat="false" ht="30" hidden="false" customHeight="true" outlineLevel="0" collapsed="false">
      <c r="A36" s="8" t="s">
        <v>129</v>
      </c>
      <c r="B36" s="9" t="s">
        <v>130</v>
      </c>
      <c r="C36" s="8" t="s">
        <v>62</v>
      </c>
      <c r="D36" s="8" t="s">
        <v>121</v>
      </c>
      <c r="E36" s="8" t="s">
        <v>122</v>
      </c>
      <c r="F36" s="8" t="s">
        <v>53</v>
      </c>
      <c r="G36" s="8"/>
      <c r="H36" s="8"/>
      <c r="I36" s="8" t="s">
        <v>54</v>
      </c>
      <c r="J36" s="10"/>
      <c r="K36" s="10"/>
      <c r="L36" s="10"/>
      <c r="M36" s="10"/>
      <c r="N36" s="10"/>
      <c r="O36" s="10"/>
      <c r="P36" s="10"/>
    </row>
    <row r="37" customFormat="false" ht="30" hidden="false" customHeight="true" outlineLevel="0" collapsed="false">
      <c r="A37" s="8" t="s">
        <v>131</v>
      </c>
      <c r="B37" s="9" t="s">
        <v>132</v>
      </c>
      <c r="C37" s="8" t="s">
        <v>76</v>
      </c>
      <c r="D37" s="8" t="s">
        <v>121</v>
      </c>
      <c r="E37" s="8" t="s">
        <v>122</v>
      </c>
      <c r="F37" s="8" t="s">
        <v>53</v>
      </c>
      <c r="G37" s="8" t="s">
        <v>133</v>
      </c>
      <c r="H37" s="8"/>
      <c r="I37" s="8" t="s">
        <v>54</v>
      </c>
      <c r="J37" s="10"/>
      <c r="K37" s="10"/>
      <c r="L37" s="10"/>
      <c r="M37" s="10"/>
      <c r="N37" s="10"/>
      <c r="O37" s="10"/>
      <c r="P37" s="10"/>
    </row>
    <row r="38" customFormat="false" ht="30" hidden="false" customHeight="true" outlineLevel="0" collapsed="false">
      <c r="A38" s="8" t="s">
        <v>134</v>
      </c>
      <c r="B38" s="9" t="s">
        <v>135</v>
      </c>
      <c r="C38" s="8" t="s">
        <v>76</v>
      </c>
      <c r="D38" s="8" t="s">
        <v>121</v>
      </c>
      <c r="E38" s="8" t="s">
        <v>122</v>
      </c>
      <c r="F38" s="8" t="s">
        <v>53</v>
      </c>
      <c r="G38" s="8" t="s">
        <v>133</v>
      </c>
      <c r="H38" s="8"/>
      <c r="I38" s="8" t="s">
        <v>54</v>
      </c>
      <c r="J38" s="10"/>
      <c r="K38" s="10"/>
      <c r="L38" s="10"/>
      <c r="M38" s="10"/>
      <c r="N38" s="10"/>
      <c r="O38" s="10"/>
      <c r="P38" s="10"/>
    </row>
    <row r="39" customFormat="false" ht="30" hidden="false" customHeight="true" outlineLevel="0" collapsed="false">
      <c r="A39" s="8" t="s">
        <v>136</v>
      </c>
      <c r="B39" s="9" t="s">
        <v>137</v>
      </c>
      <c r="C39" s="8" t="s">
        <v>76</v>
      </c>
      <c r="D39" s="8" t="s">
        <v>121</v>
      </c>
      <c r="E39" s="8" t="s">
        <v>122</v>
      </c>
      <c r="F39" s="8" t="s">
        <v>53</v>
      </c>
      <c r="G39" s="8" t="s">
        <v>133</v>
      </c>
      <c r="H39" s="8"/>
      <c r="I39" s="8" t="s">
        <v>54</v>
      </c>
      <c r="J39" s="10"/>
      <c r="K39" s="10"/>
      <c r="L39" s="10"/>
      <c r="M39" s="10"/>
      <c r="N39" s="10"/>
      <c r="O39" s="10"/>
      <c r="P39" s="10"/>
    </row>
    <row r="40" customFormat="false" ht="30" hidden="false" customHeight="true" outlineLevel="0" collapsed="false">
      <c r="A40" s="8" t="s">
        <v>138</v>
      </c>
      <c r="B40" s="9" t="s">
        <v>139</v>
      </c>
      <c r="C40" s="8" t="s">
        <v>76</v>
      </c>
      <c r="D40" s="8" t="s">
        <v>140</v>
      </c>
      <c r="E40" s="8" t="s">
        <v>52</v>
      </c>
      <c r="F40" s="8" t="s">
        <v>53</v>
      </c>
      <c r="G40" s="8" t="s">
        <v>133</v>
      </c>
      <c r="H40" s="8"/>
      <c r="I40" s="8" t="s">
        <v>54</v>
      </c>
      <c r="J40" s="10"/>
      <c r="K40" s="10"/>
      <c r="L40" s="10"/>
      <c r="M40" s="10"/>
      <c r="N40" s="10"/>
      <c r="O40" s="10"/>
      <c r="P40" s="10"/>
    </row>
    <row r="41" customFormat="false" ht="30" hidden="false" customHeight="true" outlineLevel="0" collapsed="false">
      <c r="A41" s="8" t="s">
        <v>141</v>
      </c>
      <c r="B41" s="9" t="s">
        <v>142</v>
      </c>
      <c r="C41" s="8" t="s">
        <v>76</v>
      </c>
      <c r="D41" s="8" t="s">
        <v>121</v>
      </c>
      <c r="E41" s="8" t="s">
        <v>122</v>
      </c>
      <c r="F41" s="8" t="s">
        <v>53</v>
      </c>
      <c r="G41" s="8" t="s">
        <v>133</v>
      </c>
      <c r="H41" s="8"/>
      <c r="I41" s="8" t="s">
        <v>54</v>
      </c>
      <c r="J41" s="10"/>
      <c r="K41" s="10"/>
      <c r="L41" s="10"/>
      <c r="M41" s="10"/>
      <c r="N41" s="10"/>
      <c r="O41" s="10"/>
      <c r="P41" s="10"/>
    </row>
    <row r="42" customFormat="false" ht="30" hidden="false" customHeight="true" outlineLevel="0" collapsed="false">
      <c r="A42" s="8" t="s">
        <v>143</v>
      </c>
      <c r="B42" s="9" t="s">
        <v>144</v>
      </c>
      <c r="C42" s="8" t="s">
        <v>76</v>
      </c>
      <c r="D42" s="8" t="s">
        <v>121</v>
      </c>
      <c r="E42" s="8" t="s">
        <v>122</v>
      </c>
      <c r="F42" s="8" t="s">
        <v>53</v>
      </c>
      <c r="G42" s="8" t="s">
        <v>145</v>
      </c>
      <c r="H42" s="8"/>
      <c r="I42" s="8" t="s">
        <v>54</v>
      </c>
      <c r="J42" s="10"/>
      <c r="K42" s="10"/>
      <c r="L42" s="10"/>
      <c r="M42" s="10"/>
      <c r="N42" s="10"/>
      <c r="O42" s="10"/>
      <c r="P42" s="10"/>
    </row>
    <row r="43" customFormat="false" ht="30" hidden="false" customHeight="true" outlineLevel="0" collapsed="false">
      <c r="A43" s="8" t="s">
        <v>146</v>
      </c>
      <c r="B43" s="9" t="s">
        <v>147</v>
      </c>
      <c r="C43" s="8" t="s">
        <v>76</v>
      </c>
      <c r="D43" s="8" t="s">
        <v>121</v>
      </c>
      <c r="E43" s="8" t="s">
        <v>122</v>
      </c>
      <c r="F43" s="8" t="s">
        <v>53</v>
      </c>
      <c r="G43" s="8" t="s">
        <v>145</v>
      </c>
      <c r="H43" s="8"/>
      <c r="I43" s="8" t="s">
        <v>54</v>
      </c>
      <c r="J43" s="10"/>
      <c r="K43" s="10"/>
      <c r="L43" s="10"/>
      <c r="M43" s="10"/>
      <c r="N43" s="10"/>
      <c r="O43" s="10"/>
      <c r="P43" s="10"/>
    </row>
    <row r="44" customFormat="false" ht="30" hidden="false" customHeight="true" outlineLevel="0" collapsed="false">
      <c r="A44" s="8" t="s">
        <v>148</v>
      </c>
      <c r="B44" s="9" t="s">
        <v>149</v>
      </c>
      <c r="C44" s="8" t="s">
        <v>76</v>
      </c>
      <c r="D44" s="8" t="s">
        <v>121</v>
      </c>
      <c r="E44" s="8" t="s">
        <v>122</v>
      </c>
      <c r="F44" s="8" t="s">
        <v>53</v>
      </c>
      <c r="G44" s="8" t="s">
        <v>145</v>
      </c>
      <c r="H44" s="8"/>
      <c r="I44" s="8" t="s">
        <v>54</v>
      </c>
      <c r="J44" s="10"/>
      <c r="K44" s="10"/>
      <c r="L44" s="10"/>
      <c r="M44" s="10"/>
      <c r="N44" s="10"/>
      <c r="O44" s="10"/>
      <c r="P44" s="10"/>
    </row>
    <row r="45" customFormat="false" ht="30" hidden="false" customHeight="true" outlineLevel="0" collapsed="false">
      <c r="A45" s="8" t="s">
        <v>150</v>
      </c>
      <c r="B45" s="9" t="s">
        <v>151</v>
      </c>
      <c r="C45" s="8" t="s">
        <v>76</v>
      </c>
      <c r="D45" s="8" t="s">
        <v>121</v>
      </c>
      <c r="E45" s="8" t="s">
        <v>122</v>
      </c>
      <c r="F45" s="8" t="s">
        <v>53</v>
      </c>
      <c r="G45" s="8" t="s">
        <v>145</v>
      </c>
      <c r="H45" s="8"/>
      <c r="I45" s="8" t="s">
        <v>54</v>
      </c>
      <c r="J45" s="10"/>
      <c r="K45" s="10"/>
      <c r="L45" s="10"/>
      <c r="M45" s="10"/>
      <c r="N45" s="10"/>
      <c r="O45" s="10"/>
      <c r="P45" s="10"/>
    </row>
    <row r="46" customFormat="false" ht="30" hidden="false" customHeight="true" outlineLevel="0" collapsed="false">
      <c r="A46" s="8" t="s">
        <v>152</v>
      </c>
      <c r="B46" s="9" t="s">
        <v>153</v>
      </c>
      <c r="C46" s="8" t="s">
        <v>76</v>
      </c>
      <c r="D46" s="8" t="s">
        <v>121</v>
      </c>
      <c r="E46" s="8" t="s">
        <v>122</v>
      </c>
      <c r="F46" s="8" t="s">
        <v>53</v>
      </c>
      <c r="G46" s="8" t="s">
        <v>145</v>
      </c>
      <c r="H46" s="8"/>
      <c r="I46" s="8" t="s">
        <v>54</v>
      </c>
      <c r="J46" s="10"/>
      <c r="K46" s="10"/>
      <c r="L46" s="10"/>
      <c r="M46" s="10"/>
      <c r="N46" s="10"/>
      <c r="O46" s="10"/>
      <c r="P46" s="10"/>
    </row>
    <row r="47" customFormat="false" ht="30" hidden="false" customHeight="true" outlineLevel="0" collapsed="false">
      <c r="A47" s="8" t="s">
        <v>154</v>
      </c>
      <c r="B47" s="9" t="s">
        <v>155</v>
      </c>
      <c r="C47" s="8" t="s">
        <v>62</v>
      </c>
      <c r="D47" s="8" t="s">
        <v>51</v>
      </c>
      <c r="E47" s="8" t="s">
        <v>52</v>
      </c>
      <c r="F47" s="8" t="s">
        <v>53</v>
      </c>
      <c r="G47" s="8" t="s">
        <v>156</v>
      </c>
      <c r="H47" s="11" t="s">
        <v>157</v>
      </c>
      <c r="I47" s="12" t="s">
        <v>54</v>
      </c>
      <c r="J47" s="10"/>
      <c r="K47" s="10"/>
      <c r="L47" s="10"/>
      <c r="M47" s="10"/>
      <c r="N47" s="10"/>
      <c r="O47" s="10"/>
      <c r="P47" s="10"/>
    </row>
    <row r="48" customFormat="false" ht="30" hidden="false" customHeight="true" outlineLevel="0" collapsed="false">
      <c r="A48" s="8" t="s">
        <v>158</v>
      </c>
      <c r="B48" s="9" t="s">
        <v>159</v>
      </c>
      <c r="C48" s="8" t="s">
        <v>76</v>
      </c>
      <c r="D48" s="8" t="s">
        <v>51</v>
      </c>
      <c r="E48" s="8" t="s">
        <v>52</v>
      </c>
      <c r="F48" s="8" t="s">
        <v>53</v>
      </c>
      <c r="G48" s="8" t="s">
        <v>156</v>
      </c>
      <c r="H48" s="8"/>
      <c r="I48" s="8" t="s">
        <v>54</v>
      </c>
      <c r="J48" s="10"/>
      <c r="K48" s="10"/>
      <c r="L48" s="10"/>
      <c r="M48" s="10"/>
      <c r="N48" s="10"/>
      <c r="O48" s="10"/>
      <c r="P48" s="10"/>
    </row>
    <row r="49" customFormat="false" ht="30" hidden="false" customHeight="true" outlineLevel="0" collapsed="false">
      <c r="A49" s="8" t="s">
        <v>160</v>
      </c>
      <c r="B49" s="9" t="s">
        <v>161</v>
      </c>
      <c r="C49" s="8" t="s">
        <v>62</v>
      </c>
      <c r="D49" s="8" t="s">
        <v>87</v>
      </c>
      <c r="E49" s="8" t="s">
        <v>52</v>
      </c>
      <c r="F49" s="8" t="s">
        <v>53</v>
      </c>
      <c r="G49" s="8" t="s">
        <v>156</v>
      </c>
      <c r="H49" s="11" t="s">
        <v>157</v>
      </c>
      <c r="I49" s="12" t="s">
        <v>54</v>
      </c>
      <c r="J49" s="10"/>
      <c r="K49" s="10"/>
      <c r="L49" s="10"/>
      <c r="M49" s="10"/>
      <c r="N49" s="10"/>
      <c r="O49" s="10"/>
      <c r="P49" s="10"/>
    </row>
    <row r="50" customFormat="false" ht="30" hidden="false" customHeight="true" outlineLevel="0" collapsed="false">
      <c r="A50" s="8" t="s">
        <v>162</v>
      </c>
      <c r="B50" s="9" t="s">
        <v>163</v>
      </c>
      <c r="C50" s="8" t="s">
        <v>76</v>
      </c>
      <c r="D50" s="8" t="s">
        <v>106</v>
      </c>
      <c r="E50" s="8" t="s">
        <v>52</v>
      </c>
      <c r="F50" s="8" t="s">
        <v>53</v>
      </c>
      <c r="G50" s="8" t="s">
        <v>156</v>
      </c>
      <c r="H50" s="8"/>
      <c r="I50" s="8" t="s">
        <v>54</v>
      </c>
      <c r="J50" s="10"/>
      <c r="K50" s="10"/>
      <c r="L50" s="10"/>
      <c r="M50" s="10"/>
      <c r="N50" s="10"/>
      <c r="O50" s="10"/>
      <c r="P50" s="10"/>
    </row>
    <row r="51" customFormat="false" ht="30" hidden="false" customHeight="true" outlineLevel="0" collapsed="false">
      <c r="A51" s="8" t="s">
        <v>164</v>
      </c>
      <c r="B51" s="9" t="s">
        <v>165</v>
      </c>
      <c r="C51" s="8" t="s">
        <v>62</v>
      </c>
      <c r="D51" s="8" t="s">
        <v>51</v>
      </c>
      <c r="E51" s="8" t="s">
        <v>52</v>
      </c>
      <c r="F51" s="8" t="s">
        <v>53</v>
      </c>
      <c r="G51" s="8" t="s">
        <v>156</v>
      </c>
      <c r="H51" s="8"/>
      <c r="I51" s="8" t="s">
        <v>54</v>
      </c>
      <c r="J51" s="10"/>
      <c r="K51" s="10"/>
      <c r="L51" s="10"/>
      <c r="M51" s="10"/>
      <c r="N51" s="10"/>
      <c r="O51" s="10"/>
      <c r="P51" s="10"/>
    </row>
    <row r="52" customFormat="false" ht="30" hidden="false" customHeight="true" outlineLevel="0" collapsed="false">
      <c r="A52" s="8" t="s">
        <v>166</v>
      </c>
      <c r="B52" s="9" t="s">
        <v>167</v>
      </c>
      <c r="C52" s="8" t="s">
        <v>76</v>
      </c>
      <c r="D52" s="8" t="s">
        <v>121</v>
      </c>
      <c r="E52" s="8" t="s">
        <v>122</v>
      </c>
      <c r="F52" s="8" t="s">
        <v>53</v>
      </c>
      <c r="G52" s="8" t="s">
        <v>168</v>
      </c>
      <c r="H52" s="8"/>
      <c r="I52" s="8" t="s">
        <v>54</v>
      </c>
      <c r="J52" s="10"/>
      <c r="K52" s="10"/>
      <c r="L52" s="10"/>
      <c r="M52" s="10"/>
      <c r="N52" s="10"/>
      <c r="O52" s="10"/>
      <c r="P52" s="10"/>
    </row>
    <row r="53" customFormat="false" ht="30" hidden="false" customHeight="true" outlineLevel="0" collapsed="false">
      <c r="A53" s="8" t="s">
        <v>169</v>
      </c>
      <c r="B53" s="9" t="s">
        <v>170</v>
      </c>
      <c r="C53" s="8" t="s">
        <v>76</v>
      </c>
      <c r="D53" s="8" t="s">
        <v>121</v>
      </c>
      <c r="E53" s="8" t="s">
        <v>122</v>
      </c>
      <c r="F53" s="8" t="s">
        <v>53</v>
      </c>
      <c r="G53" s="8" t="s">
        <v>168</v>
      </c>
      <c r="H53" s="8"/>
      <c r="I53" s="8" t="s">
        <v>54</v>
      </c>
      <c r="J53" s="10"/>
      <c r="K53" s="10"/>
      <c r="L53" s="10"/>
      <c r="M53" s="10"/>
      <c r="N53" s="10"/>
      <c r="O53" s="10"/>
      <c r="P53" s="10"/>
    </row>
    <row r="54" customFormat="false" ht="30" hidden="false" customHeight="true" outlineLevel="0" collapsed="false">
      <c r="A54" s="8" t="s">
        <v>171</v>
      </c>
      <c r="B54" s="9" t="s">
        <v>172</v>
      </c>
      <c r="C54" s="8" t="s">
        <v>76</v>
      </c>
      <c r="D54" s="8" t="s">
        <v>121</v>
      </c>
      <c r="E54" s="8" t="s">
        <v>122</v>
      </c>
      <c r="F54" s="8" t="s">
        <v>53</v>
      </c>
      <c r="G54" s="8" t="s">
        <v>168</v>
      </c>
      <c r="H54" s="8"/>
      <c r="I54" s="8" t="s">
        <v>54</v>
      </c>
      <c r="J54" s="10"/>
      <c r="K54" s="10"/>
      <c r="L54" s="10"/>
      <c r="M54" s="10"/>
      <c r="N54" s="10"/>
      <c r="O54" s="10"/>
      <c r="P54" s="10"/>
    </row>
    <row r="55" customFormat="false" ht="30" hidden="false" customHeight="true" outlineLevel="0" collapsed="false">
      <c r="A55" s="8" t="s">
        <v>173</v>
      </c>
      <c r="B55" s="9" t="s">
        <v>174</v>
      </c>
      <c r="C55" s="8" t="s">
        <v>76</v>
      </c>
      <c r="D55" s="8" t="s">
        <v>140</v>
      </c>
      <c r="E55" s="8" t="s">
        <v>52</v>
      </c>
      <c r="F55" s="8" t="s">
        <v>53</v>
      </c>
      <c r="G55" s="8" t="s">
        <v>168</v>
      </c>
      <c r="H55" s="8"/>
      <c r="I55" s="8" t="s">
        <v>54</v>
      </c>
      <c r="J55" s="10"/>
      <c r="K55" s="10"/>
      <c r="L55" s="10"/>
      <c r="M55" s="10"/>
      <c r="N55" s="10"/>
      <c r="O55" s="10"/>
      <c r="P55" s="10"/>
    </row>
    <row r="56" customFormat="false" ht="30" hidden="false" customHeight="true" outlineLevel="0" collapsed="false">
      <c r="A56" s="8" t="s">
        <v>175</v>
      </c>
      <c r="B56" s="9" t="s">
        <v>176</v>
      </c>
      <c r="C56" s="8" t="s">
        <v>62</v>
      </c>
      <c r="D56" s="8" t="s">
        <v>140</v>
      </c>
      <c r="E56" s="8" t="s">
        <v>52</v>
      </c>
      <c r="F56" s="8" t="s">
        <v>53</v>
      </c>
      <c r="G56" s="8"/>
      <c r="H56" s="8"/>
      <c r="I56" s="8" t="s">
        <v>54</v>
      </c>
      <c r="J56" s="10"/>
      <c r="K56" s="10"/>
      <c r="L56" s="10"/>
      <c r="M56" s="10"/>
      <c r="N56" s="10"/>
      <c r="O56" s="10"/>
      <c r="P56" s="10"/>
    </row>
    <row r="57" customFormat="false" ht="30" hidden="false" customHeight="true" outlineLevel="0" collapsed="false">
      <c r="A57" s="8" t="s">
        <v>177</v>
      </c>
      <c r="B57" s="9" t="s">
        <v>178</v>
      </c>
      <c r="C57" s="8" t="s">
        <v>62</v>
      </c>
      <c r="D57" s="8" t="s">
        <v>140</v>
      </c>
      <c r="E57" s="8" t="s">
        <v>52</v>
      </c>
      <c r="F57" s="8" t="s">
        <v>53</v>
      </c>
      <c r="G57" s="8"/>
      <c r="H57" s="8"/>
      <c r="I57" s="8" t="s">
        <v>54</v>
      </c>
      <c r="J57" s="10"/>
      <c r="K57" s="10"/>
      <c r="L57" s="10"/>
      <c r="M57" s="10"/>
      <c r="N57" s="10"/>
      <c r="O57" s="10"/>
      <c r="P57" s="10"/>
    </row>
    <row r="58" customFormat="false" ht="30" hidden="false" customHeight="true" outlineLevel="0" collapsed="false">
      <c r="A58" s="8" t="s">
        <v>179</v>
      </c>
      <c r="B58" s="9" t="s">
        <v>180</v>
      </c>
      <c r="C58" s="8" t="s">
        <v>76</v>
      </c>
      <c r="D58" s="8" t="s">
        <v>140</v>
      </c>
      <c r="E58" s="8" t="s">
        <v>52</v>
      </c>
      <c r="F58" s="8" t="s">
        <v>53</v>
      </c>
      <c r="G58" s="8"/>
      <c r="H58" s="8"/>
      <c r="I58" s="8" t="s">
        <v>54</v>
      </c>
      <c r="J58" s="10"/>
      <c r="K58" s="10"/>
      <c r="L58" s="10"/>
      <c r="M58" s="10"/>
      <c r="N58" s="10"/>
      <c r="O58" s="10"/>
      <c r="P58" s="10"/>
    </row>
    <row r="59" customFormat="false" ht="30" hidden="false" customHeight="true" outlineLevel="0" collapsed="false">
      <c r="A59" s="8" t="s">
        <v>181</v>
      </c>
      <c r="B59" s="9" t="s">
        <v>182</v>
      </c>
      <c r="C59" s="8" t="s">
        <v>62</v>
      </c>
      <c r="D59" s="8" t="s">
        <v>140</v>
      </c>
      <c r="E59" s="8" t="s">
        <v>52</v>
      </c>
      <c r="F59" s="8" t="s">
        <v>183</v>
      </c>
      <c r="G59" s="8"/>
      <c r="H59" s="8"/>
      <c r="I59" s="8" t="s">
        <v>54</v>
      </c>
      <c r="J59" s="10"/>
      <c r="K59" s="10"/>
      <c r="L59" s="10"/>
      <c r="M59" s="10"/>
      <c r="N59" s="10"/>
      <c r="O59" s="10"/>
      <c r="P59" s="10"/>
    </row>
    <row r="60" customFormat="false" ht="30" hidden="false" customHeight="true" outlineLevel="0" collapsed="false">
      <c r="A60" s="8" t="s">
        <v>184</v>
      </c>
      <c r="B60" s="9" t="s">
        <v>185</v>
      </c>
      <c r="C60" s="8" t="s">
        <v>62</v>
      </c>
      <c r="D60" s="8" t="s">
        <v>140</v>
      </c>
      <c r="E60" s="8" t="s">
        <v>52</v>
      </c>
      <c r="F60" s="8" t="s">
        <v>183</v>
      </c>
      <c r="G60" s="8"/>
      <c r="H60" s="8"/>
      <c r="I60" s="8" t="s">
        <v>54</v>
      </c>
      <c r="J60" s="10"/>
      <c r="K60" s="10"/>
      <c r="L60" s="10"/>
      <c r="M60" s="10"/>
      <c r="N60" s="10"/>
      <c r="O60" s="10"/>
      <c r="P60" s="10"/>
    </row>
    <row r="61" customFormat="false" ht="30" hidden="false" customHeight="true" outlineLevel="0" collapsed="false">
      <c r="A61" s="8" t="s">
        <v>186</v>
      </c>
      <c r="B61" s="9" t="s">
        <v>187</v>
      </c>
      <c r="C61" s="8" t="s">
        <v>62</v>
      </c>
      <c r="D61" s="8" t="s">
        <v>140</v>
      </c>
      <c r="E61" s="8" t="s">
        <v>52</v>
      </c>
      <c r="F61" s="8" t="s">
        <v>183</v>
      </c>
      <c r="G61" s="8"/>
      <c r="H61" s="8"/>
      <c r="I61" s="8" t="s">
        <v>54</v>
      </c>
      <c r="J61" s="10"/>
      <c r="K61" s="10"/>
      <c r="L61" s="10"/>
      <c r="M61" s="10"/>
      <c r="N61" s="10"/>
      <c r="O61" s="10"/>
      <c r="P61" s="10"/>
    </row>
    <row r="62" customFormat="false" ht="30" hidden="false" customHeight="true" outlineLevel="0" collapsed="false">
      <c r="A62" s="8" t="s">
        <v>188</v>
      </c>
      <c r="B62" s="9" t="s">
        <v>189</v>
      </c>
      <c r="C62" s="8" t="s">
        <v>62</v>
      </c>
      <c r="D62" s="8" t="s">
        <v>190</v>
      </c>
      <c r="E62" s="8" t="s">
        <v>52</v>
      </c>
      <c r="F62" s="8" t="s">
        <v>53</v>
      </c>
      <c r="G62" s="8"/>
      <c r="H62" s="8"/>
      <c r="I62" s="8" t="s">
        <v>54</v>
      </c>
      <c r="J62" s="10"/>
      <c r="K62" s="10"/>
      <c r="L62" s="10"/>
      <c r="M62" s="10"/>
      <c r="N62" s="10"/>
      <c r="O62" s="10"/>
      <c r="P62" s="10"/>
    </row>
    <row r="63" customFormat="false" ht="30" hidden="false" customHeight="true" outlineLevel="0" collapsed="false">
      <c r="A63" s="8" t="s">
        <v>191</v>
      </c>
      <c r="B63" s="9" t="s">
        <v>192</v>
      </c>
      <c r="C63" s="8" t="s">
        <v>62</v>
      </c>
      <c r="D63" s="8" t="s">
        <v>190</v>
      </c>
      <c r="E63" s="8" t="s">
        <v>52</v>
      </c>
      <c r="F63" s="8" t="s">
        <v>53</v>
      </c>
      <c r="G63" s="8"/>
      <c r="H63" s="8"/>
      <c r="I63" s="8" t="s">
        <v>54</v>
      </c>
      <c r="J63" s="10"/>
      <c r="K63" s="10"/>
      <c r="L63" s="10"/>
      <c r="M63" s="10"/>
      <c r="N63" s="10"/>
      <c r="O63" s="10"/>
      <c r="P63" s="10"/>
    </row>
    <row r="64" customFormat="false" ht="30" hidden="false" customHeight="true" outlineLevel="0" collapsed="false">
      <c r="A64" s="8" t="s">
        <v>193</v>
      </c>
      <c r="B64" s="9" t="s">
        <v>194</v>
      </c>
      <c r="C64" s="8" t="s">
        <v>76</v>
      </c>
      <c r="D64" s="8" t="s">
        <v>190</v>
      </c>
      <c r="E64" s="8" t="s">
        <v>52</v>
      </c>
      <c r="F64" s="8" t="s">
        <v>53</v>
      </c>
      <c r="G64" s="8"/>
      <c r="H64" s="8"/>
      <c r="I64" s="8" t="s">
        <v>54</v>
      </c>
      <c r="J64" s="10"/>
      <c r="K64" s="10"/>
      <c r="L64" s="10"/>
      <c r="M64" s="10"/>
      <c r="N64" s="10"/>
      <c r="O64" s="10"/>
      <c r="P64" s="10"/>
    </row>
    <row r="65" customFormat="false" ht="30" hidden="false" customHeight="true" outlineLevel="0" collapsed="false">
      <c r="A65" s="8" t="s">
        <v>195</v>
      </c>
      <c r="B65" s="9" t="s">
        <v>196</v>
      </c>
      <c r="C65" s="8" t="s">
        <v>62</v>
      </c>
      <c r="D65" s="8" t="s">
        <v>197</v>
      </c>
      <c r="E65" s="8" t="s">
        <v>52</v>
      </c>
      <c r="F65" s="8" t="s">
        <v>53</v>
      </c>
      <c r="G65" s="8"/>
      <c r="H65" s="11" t="s">
        <v>198</v>
      </c>
      <c r="I65" s="12" t="s">
        <v>199</v>
      </c>
      <c r="J65" s="10"/>
      <c r="K65" s="10"/>
      <c r="L65" s="10"/>
      <c r="M65" s="10"/>
      <c r="N65" s="10"/>
      <c r="O65" s="10"/>
      <c r="P65" s="10"/>
    </row>
    <row r="66" customFormat="false" ht="30" hidden="false" customHeight="true" outlineLevel="0" collapsed="false">
      <c r="A66" s="8" t="s">
        <v>200</v>
      </c>
      <c r="B66" s="9" t="s">
        <v>201</v>
      </c>
      <c r="C66" s="8" t="s">
        <v>62</v>
      </c>
      <c r="D66" s="8" t="s">
        <v>197</v>
      </c>
      <c r="E66" s="8" t="s">
        <v>52</v>
      </c>
      <c r="F66" s="8" t="s">
        <v>53</v>
      </c>
      <c r="G66" s="8"/>
      <c r="H66" s="11" t="s">
        <v>198</v>
      </c>
      <c r="I66" s="12" t="s">
        <v>199</v>
      </c>
      <c r="J66" s="10"/>
      <c r="K66" s="10"/>
      <c r="L66" s="10"/>
      <c r="M66" s="10"/>
      <c r="N66" s="10"/>
      <c r="O66" s="10"/>
      <c r="P66" s="10"/>
    </row>
    <row r="67" customFormat="false" ht="30" hidden="false" customHeight="true" outlineLevel="0" collapsed="false">
      <c r="A67" s="8" t="s">
        <v>202</v>
      </c>
      <c r="B67" s="9" t="s">
        <v>203</v>
      </c>
      <c r="C67" s="8" t="s">
        <v>62</v>
      </c>
      <c r="D67" s="8" t="s">
        <v>190</v>
      </c>
      <c r="E67" s="8" t="s">
        <v>52</v>
      </c>
      <c r="F67" s="8" t="s">
        <v>53</v>
      </c>
      <c r="G67" s="8"/>
      <c r="H67" s="11" t="s">
        <v>198</v>
      </c>
      <c r="I67" s="12" t="s">
        <v>199</v>
      </c>
      <c r="J67" s="10"/>
      <c r="K67" s="10"/>
      <c r="L67" s="10"/>
      <c r="M67" s="10"/>
      <c r="N67" s="10"/>
      <c r="O67" s="10"/>
      <c r="P67" s="10"/>
    </row>
    <row r="68" customFormat="false" ht="30" hidden="false" customHeight="true" outlineLevel="0" collapsed="false">
      <c r="A68" s="8" t="s">
        <v>204</v>
      </c>
      <c r="B68" s="9" t="s">
        <v>205</v>
      </c>
      <c r="C68" s="8" t="s">
        <v>62</v>
      </c>
      <c r="D68" s="8" t="s">
        <v>197</v>
      </c>
      <c r="E68" s="8" t="s">
        <v>52</v>
      </c>
      <c r="F68" s="8" t="s">
        <v>53</v>
      </c>
      <c r="G68" s="8"/>
      <c r="H68" s="11" t="s">
        <v>198</v>
      </c>
      <c r="I68" s="12" t="s">
        <v>199</v>
      </c>
      <c r="J68" s="10"/>
      <c r="K68" s="10"/>
      <c r="L68" s="10"/>
      <c r="M68" s="10"/>
      <c r="N68" s="10"/>
      <c r="O68" s="10"/>
      <c r="P68" s="10"/>
    </row>
    <row r="69" customFormat="false" ht="30" hidden="false" customHeight="true" outlineLevel="0" collapsed="false">
      <c r="A69" s="8" t="s">
        <v>206</v>
      </c>
      <c r="B69" s="9" t="s">
        <v>207</v>
      </c>
      <c r="C69" s="8" t="s">
        <v>62</v>
      </c>
      <c r="D69" s="8" t="s">
        <v>197</v>
      </c>
      <c r="E69" s="8" t="s">
        <v>52</v>
      </c>
      <c r="F69" s="8" t="s">
        <v>53</v>
      </c>
      <c r="G69" s="8"/>
      <c r="H69" s="11" t="s">
        <v>198</v>
      </c>
      <c r="I69" s="12" t="s">
        <v>199</v>
      </c>
      <c r="J69" s="10"/>
      <c r="K69" s="10"/>
      <c r="L69" s="10"/>
      <c r="M69" s="10"/>
      <c r="N69" s="10"/>
      <c r="O69" s="10"/>
      <c r="P69" s="10"/>
    </row>
    <row r="70" customFormat="false" ht="30" hidden="false" customHeight="true" outlineLevel="0" collapsed="false">
      <c r="A70" s="8" t="s">
        <v>208</v>
      </c>
      <c r="B70" s="9" t="s">
        <v>209</v>
      </c>
      <c r="C70" s="8" t="s">
        <v>76</v>
      </c>
      <c r="D70" s="8" t="s">
        <v>197</v>
      </c>
      <c r="E70" s="8" t="s">
        <v>52</v>
      </c>
      <c r="F70" s="8" t="s">
        <v>53</v>
      </c>
      <c r="G70" s="8"/>
      <c r="H70" s="11" t="s">
        <v>198</v>
      </c>
      <c r="I70" s="12" t="s">
        <v>199</v>
      </c>
      <c r="J70" s="10"/>
      <c r="K70" s="10"/>
      <c r="L70" s="10"/>
      <c r="M70" s="10"/>
      <c r="N70" s="10"/>
      <c r="O70" s="10"/>
      <c r="P70" s="10"/>
    </row>
    <row r="71" customFormat="false" ht="30" hidden="false" customHeight="true" outlineLevel="0" collapsed="false">
      <c r="A71" s="8" t="s">
        <v>210</v>
      </c>
      <c r="B71" s="9" t="s">
        <v>211</v>
      </c>
      <c r="C71" s="8" t="s">
        <v>76</v>
      </c>
      <c r="D71" s="8" t="s">
        <v>121</v>
      </c>
      <c r="E71" s="8" t="s">
        <v>122</v>
      </c>
      <c r="F71" s="8" t="s">
        <v>53</v>
      </c>
      <c r="G71" s="8" t="s">
        <v>133</v>
      </c>
      <c r="H71" s="11" t="s">
        <v>212</v>
      </c>
      <c r="I71" s="12" t="s">
        <v>213</v>
      </c>
      <c r="J71" s="10"/>
      <c r="K71" s="10"/>
      <c r="L71" s="10"/>
      <c r="M71" s="10"/>
      <c r="N71" s="10"/>
      <c r="O71" s="10"/>
      <c r="P71" s="10"/>
    </row>
    <row r="72" customFormat="false" ht="30" hidden="false" customHeight="true" outlineLevel="0" collapsed="false">
      <c r="A72" s="8" t="s">
        <v>214</v>
      </c>
      <c r="B72" s="9" t="s">
        <v>215</v>
      </c>
      <c r="C72" s="8" t="s">
        <v>76</v>
      </c>
      <c r="D72" s="8" t="s">
        <v>51</v>
      </c>
      <c r="E72" s="8" t="s">
        <v>52</v>
      </c>
      <c r="F72" s="8" t="s">
        <v>53</v>
      </c>
      <c r="G72" s="8" t="s">
        <v>133</v>
      </c>
      <c r="H72" s="11" t="s">
        <v>212</v>
      </c>
      <c r="I72" s="12" t="s">
        <v>213</v>
      </c>
      <c r="J72" s="10"/>
      <c r="K72" s="10"/>
      <c r="L72" s="10"/>
      <c r="M72" s="10"/>
      <c r="N72" s="10"/>
      <c r="O72" s="10"/>
      <c r="P72" s="10"/>
    </row>
    <row r="73" customFormat="false" ht="30" hidden="false" customHeight="true" outlineLevel="0" collapsed="false">
      <c r="A73" s="8" t="s">
        <v>216</v>
      </c>
      <c r="B73" s="9" t="s">
        <v>217</v>
      </c>
      <c r="C73" s="8" t="s">
        <v>76</v>
      </c>
      <c r="D73" s="8" t="s">
        <v>121</v>
      </c>
      <c r="E73" s="8" t="s">
        <v>122</v>
      </c>
      <c r="F73" s="8" t="s">
        <v>53</v>
      </c>
      <c r="G73" s="8" t="s">
        <v>133</v>
      </c>
      <c r="H73" s="11" t="s">
        <v>212</v>
      </c>
      <c r="I73" s="12" t="s">
        <v>213</v>
      </c>
      <c r="J73" s="10"/>
      <c r="K73" s="10"/>
      <c r="L73" s="10"/>
      <c r="M73" s="10"/>
      <c r="N73" s="10"/>
      <c r="O73" s="10"/>
      <c r="P73" s="10"/>
    </row>
    <row r="74" customFormat="false" ht="30" hidden="false" customHeight="true" outlineLevel="0" collapsed="false">
      <c r="A74" s="8" t="s">
        <v>218</v>
      </c>
      <c r="B74" s="9" t="s">
        <v>219</v>
      </c>
      <c r="C74" s="8" t="s">
        <v>76</v>
      </c>
      <c r="D74" s="8" t="s">
        <v>51</v>
      </c>
      <c r="E74" s="8" t="s">
        <v>52</v>
      </c>
      <c r="F74" s="8" t="s">
        <v>53</v>
      </c>
      <c r="G74" s="8"/>
      <c r="H74" s="11" t="s">
        <v>212</v>
      </c>
      <c r="I74" s="12" t="s">
        <v>213</v>
      </c>
      <c r="J74" s="10"/>
      <c r="K74" s="10"/>
      <c r="L74" s="10"/>
      <c r="M74" s="10"/>
      <c r="N74" s="10"/>
      <c r="O74" s="10"/>
      <c r="P74" s="10"/>
    </row>
    <row r="75" customFormat="false" ht="30" hidden="false" customHeight="true" outlineLevel="0" collapsed="false">
      <c r="A75" s="8" t="s">
        <v>220</v>
      </c>
      <c r="B75" s="9" t="s">
        <v>221</v>
      </c>
      <c r="C75" s="8" t="s">
        <v>62</v>
      </c>
      <c r="D75" s="8" t="s">
        <v>140</v>
      </c>
      <c r="E75" s="8" t="s">
        <v>52</v>
      </c>
      <c r="F75" s="8" t="s">
        <v>53</v>
      </c>
      <c r="G75" s="8"/>
      <c r="H75" s="11" t="s">
        <v>222</v>
      </c>
      <c r="I75" s="12" t="s">
        <v>199</v>
      </c>
      <c r="J75" s="10"/>
      <c r="K75" s="10"/>
      <c r="L75" s="10"/>
      <c r="M75" s="10"/>
      <c r="N75" s="10"/>
      <c r="O75" s="10"/>
      <c r="P75" s="10"/>
    </row>
    <row r="76" customFormat="false" ht="30" hidden="false" customHeight="true" outlineLevel="0" collapsed="false">
      <c r="A76" s="8" t="s">
        <v>223</v>
      </c>
      <c r="B76" s="9" t="s">
        <v>224</v>
      </c>
      <c r="C76" s="8" t="s">
        <v>62</v>
      </c>
      <c r="D76" s="8" t="s">
        <v>140</v>
      </c>
      <c r="E76" s="8" t="s">
        <v>52</v>
      </c>
      <c r="F76" s="8" t="s">
        <v>53</v>
      </c>
      <c r="G76" s="8"/>
      <c r="H76" s="11" t="s">
        <v>222</v>
      </c>
      <c r="I76" s="12" t="s">
        <v>199</v>
      </c>
      <c r="J76" s="10"/>
      <c r="K76" s="10"/>
      <c r="L76" s="10"/>
      <c r="M76" s="10"/>
      <c r="N76" s="10"/>
      <c r="O76" s="10"/>
      <c r="P76" s="10"/>
    </row>
    <row r="77" customFormat="false" ht="30" hidden="false" customHeight="true" outlineLevel="0" collapsed="false">
      <c r="A77" s="8" t="s">
        <v>225</v>
      </c>
      <c r="B77" s="9" t="s">
        <v>226</v>
      </c>
      <c r="C77" s="8" t="s">
        <v>62</v>
      </c>
      <c r="D77" s="8" t="s">
        <v>140</v>
      </c>
      <c r="E77" s="8" t="s">
        <v>52</v>
      </c>
      <c r="F77" s="8" t="s">
        <v>53</v>
      </c>
      <c r="G77" s="8"/>
      <c r="H77" s="11" t="s">
        <v>222</v>
      </c>
      <c r="I77" s="12" t="s">
        <v>199</v>
      </c>
      <c r="J77" s="10"/>
      <c r="K77" s="10"/>
      <c r="L77" s="10"/>
      <c r="M77" s="10"/>
      <c r="N77" s="10"/>
      <c r="O77" s="10"/>
      <c r="P77" s="10"/>
    </row>
  </sheetData>
  <autoFilter ref="A2:P77"/>
  <mergeCells count="1">
    <mergeCell ref="A1:P1"/>
  </mergeCells>
  <dataValidations count="1">
    <dataValidation allowBlank="true" errorStyle="stop" operator="between" prompt="hotovo / rozpracovane / vyradene" promptTitle="Stav" showDropDown="false" showErrorMessage="false" showInputMessage="false" sqref="O4:O77" type="list">
      <formula1>"hotovo,rozpracovane,vyradene"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56"/>
  </cols>
  <sheetData>
    <row r="1" customFormat="false" ht="17.35" hidden="false" customHeight="false" outlineLevel="0" collapsed="false">
      <c r="A1" s="1" t="s">
        <v>227</v>
      </c>
    </row>
    <row r="2" customFormat="false" ht="15" hidden="false" customHeight="false" outlineLevel="0" collapsed="false">
      <c r="A2" s="13" t="s">
        <v>228</v>
      </c>
    </row>
    <row r="4" customFormat="false" ht="15" hidden="false" customHeight="false" outlineLevel="0" collapsed="false">
      <c r="A4" s="3" t="s">
        <v>37</v>
      </c>
    </row>
    <row r="5" customFormat="false" ht="15" hidden="false" customHeight="false" outlineLevel="0" collapsed="false">
      <c r="A5" s="14" t="s">
        <v>50</v>
      </c>
      <c r="B5" s="14" t="n">
        <f aca="false">COUNTIF(Sada!C$4:C$77,"fulltext")</f>
        <v>10</v>
      </c>
      <c r="C5" s="13" t="s">
        <v>229</v>
      </c>
    </row>
    <row r="6" customFormat="false" ht="15" hidden="false" customHeight="false" outlineLevel="0" collapsed="false">
      <c r="A6" s="14" t="s">
        <v>76</v>
      </c>
      <c r="B6" s="14" t="n">
        <f aca="false">COUNTIF(Sada!C$4:C$77,"vector")</f>
        <v>31</v>
      </c>
      <c r="C6" s="13" t="s">
        <v>230</v>
      </c>
    </row>
    <row r="7" customFormat="false" ht="15" hidden="false" customHeight="false" outlineLevel="0" collapsed="false">
      <c r="A7" s="14" t="s">
        <v>62</v>
      </c>
      <c r="B7" s="14" t="n">
        <f aca="false">COUNTIF(Sada!C$4:C$77,"hybrid")</f>
        <v>33</v>
      </c>
      <c r="C7" s="13" t="s">
        <v>231</v>
      </c>
    </row>
    <row r="9" customFormat="false" ht="15" hidden="false" customHeight="false" outlineLevel="0" collapsed="false">
      <c r="A9" s="3" t="s">
        <v>232</v>
      </c>
    </row>
    <row r="10" customFormat="false" ht="15" hidden="false" customHeight="false" outlineLevel="0" collapsed="false">
      <c r="A10" s="14" t="s">
        <v>133</v>
      </c>
      <c r="B10" s="14" t="n">
        <f aca="false">COUNTIF(Sada!G$4:G$77,"R1")</f>
        <v>8</v>
      </c>
      <c r="C10" s="13" t="s">
        <v>233</v>
      </c>
    </row>
    <row r="11" customFormat="false" ht="15" hidden="false" customHeight="false" outlineLevel="0" collapsed="false">
      <c r="A11" s="14" t="s">
        <v>145</v>
      </c>
      <c r="B11" s="14" t="n">
        <f aca="false">COUNTIF(Sada!G$4:G$77,"R2")</f>
        <v>5</v>
      </c>
      <c r="C11" s="13" t="s">
        <v>234</v>
      </c>
    </row>
    <row r="12" customFormat="false" ht="15" hidden="false" customHeight="false" outlineLevel="0" collapsed="false">
      <c r="A12" s="14" t="s">
        <v>156</v>
      </c>
      <c r="B12" s="14" t="n">
        <f aca="false">COUNTIF(Sada!G$4:G$77,"R3")</f>
        <v>5</v>
      </c>
      <c r="C12" s="13" t="s">
        <v>235</v>
      </c>
    </row>
    <row r="13" customFormat="false" ht="15" hidden="false" customHeight="false" outlineLevel="0" collapsed="false">
      <c r="A13" s="14" t="s">
        <v>168</v>
      </c>
      <c r="B13" s="14" t="n">
        <f aca="false">COUNTIF(Sada!G$4:G$77,"R4")</f>
        <v>4</v>
      </c>
      <c r="C13" s="13" t="s">
        <v>236</v>
      </c>
    </row>
    <row r="15" customFormat="false" ht="15" hidden="false" customHeight="false" outlineLevel="0" collapsed="false">
      <c r="A15" s="3" t="s">
        <v>42</v>
      </c>
    </row>
    <row r="16" customFormat="false" ht="15" hidden="false" customHeight="false" outlineLevel="0" collapsed="false">
      <c r="A16" s="14" t="s">
        <v>198</v>
      </c>
      <c r="B16" s="14" t="n">
        <f aca="false">COUNTIF(Sada!H$4:H$77,"out_of_domain")</f>
        <v>6</v>
      </c>
      <c r="C16" s="13" t="s">
        <v>237</v>
      </c>
    </row>
    <row r="17" customFormat="false" ht="15" hidden="false" customHeight="false" outlineLevel="0" collapsed="false">
      <c r="A17" s="14" t="s">
        <v>212</v>
      </c>
      <c r="B17" s="14" t="n">
        <f aca="false">COUNTIF(Sada!H$4:H$77,"ambiguous_conflict")</f>
        <v>4</v>
      </c>
      <c r="C17" s="13" t="s">
        <v>238</v>
      </c>
    </row>
    <row r="18" customFormat="false" ht="15" hidden="false" customHeight="false" outlineLevel="0" collapsed="false">
      <c r="A18" s="14" t="s">
        <v>222</v>
      </c>
      <c r="B18" s="14" t="n">
        <f aca="false">COUNTIF(Sada!H$4:H$77,"access_control")</f>
        <v>3</v>
      </c>
      <c r="C18" s="13" t="s">
        <v>239</v>
      </c>
    </row>
    <row r="19" customFormat="false" ht="15" hidden="false" customHeight="false" outlineLevel="0" collapsed="false">
      <c r="A19" s="14" t="s">
        <v>157</v>
      </c>
      <c r="B19" s="14" t="n">
        <f aca="false">COUNTIF(Sada!H$4:H$77,"historical_version")</f>
        <v>2</v>
      </c>
      <c r="C19" s="13" t="s">
        <v>240</v>
      </c>
    </row>
    <row r="21" customFormat="false" ht="15" hidden="false" customHeight="false" outlineLevel="0" collapsed="false">
      <c r="A21" s="3" t="s">
        <v>26</v>
      </c>
    </row>
    <row r="22" customFormat="false" ht="15" hidden="false" customHeight="false" outlineLevel="0" collapsed="false">
      <c r="A22" s="14" t="s">
        <v>54</v>
      </c>
      <c r="B22" s="14" t="n">
        <f aca="false">COUNTIF(Sada!I$4:I$77,"answer")</f>
        <v>61</v>
      </c>
      <c r="C22" s="13" t="s">
        <v>241</v>
      </c>
    </row>
    <row r="23" customFormat="false" ht="15" hidden="false" customHeight="false" outlineLevel="0" collapsed="false">
      <c r="A23" s="14" t="s">
        <v>199</v>
      </c>
      <c r="B23" s="14" t="n">
        <f aca="false">COUNTIF(Sada!I$4:I$77,"refuse")</f>
        <v>9</v>
      </c>
      <c r="C23" s="13" t="s">
        <v>242</v>
      </c>
    </row>
    <row r="24" customFormat="false" ht="15" hidden="false" customHeight="false" outlineLevel="0" collapsed="false">
      <c r="A24" s="14" t="s">
        <v>213</v>
      </c>
      <c r="B24" s="14" t="n">
        <f aca="false">COUNTIF(Sada!I$4:I$77,"escalate")</f>
        <v>4</v>
      </c>
      <c r="C24" s="13" t="s">
        <v>243</v>
      </c>
    </row>
    <row r="26" customFormat="false" ht="15" hidden="false" customHeight="false" outlineLevel="0" collapsed="false">
      <c r="A26" s="3" t="s">
        <v>244</v>
      </c>
    </row>
    <row r="27" customFormat="false" ht="15" hidden="false" customHeight="false" outlineLevel="0" collapsed="false">
      <c r="A27" s="14" t="s">
        <v>58</v>
      </c>
      <c r="B27" s="14" t="n">
        <f aca="false">COUNTIF(Sada!O$4:O$77,"hotovo")</f>
        <v>0</v>
      </c>
      <c r="C27" s="13" t="s">
        <v>245</v>
      </c>
    </row>
    <row r="28" customFormat="false" ht="15" hidden="false" customHeight="false" outlineLevel="0" collapsed="false">
      <c r="A28" s="14" t="s">
        <v>246</v>
      </c>
      <c r="B28" s="14" t="n">
        <f aca="false">COUNTIF(Sada!O$4:O$77,"rozpracovane")</f>
        <v>0</v>
      </c>
      <c r="C28" s="13" t="s">
        <v>247</v>
      </c>
    </row>
    <row r="29" customFormat="false" ht="15" hidden="false" customHeight="false" outlineLevel="0" collapsed="false">
      <c r="A29" s="14" t="s">
        <v>248</v>
      </c>
      <c r="B29" s="14" t="n">
        <f aca="false">COUNTIF(Sada!O$4:O$77,"vyradene")</f>
        <v>0</v>
      </c>
      <c r="C29" s="13" t="s">
        <v>249</v>
      </c>
    </row>
    <row r="31" customFormat="false" ht="15" hidden="false" customHeight="false" outlineLevel="0" collapsed="false">
      <c r="A31" s="3" t="s">
        <v>250</v>
      </c>
      <c r="B31" s="3" t="n">
        <f aca="false">COUNTA(Sada!A$4:A$77)</f>
        <v>74</v>
      </c>
    </row>
    <row r="32" customFormat="false" ht="15" hidden="false" customHeight="false" outlineLevel="0" collapsed="false">
      <c r="A32" s="3" t="s">
        <v>251</v>
      </c>
      <c r="B32" s="3" t="n">
        <f aca="false">COUNTIF(Sada!O$4:O$77,"hotovo")</f>
        <v>0</v>
      </c>
    </row>
    <row r="33" customFormat="false" ht="15" hidden="false" customHeight="false" outlineLevel="0" collapsed="false">
      <c r="A33" s="3" t="s">
        <v>252</v>
      </c>
      <c r="B33" s="3" t="n">
        <f aca="false">B31-B32</f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2026-07-25T19:50:00Z</dcterms:created>
  <dc:creator>openpyxl</dc:creator>
  <dc:description/>
  <dc:language>en-US</dc:language>
  <cp:lastModifiedBy/>
  <dcterms:modified xsi:type="dcterms:W3CDTF">2026-07-25T19:50:00Z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